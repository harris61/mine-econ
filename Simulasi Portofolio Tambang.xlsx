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ys\Downloads\"/>
    </mc:Choice>
  </mc:AlternateContent>
  <xr:revisionPtr revIDLastSave="0" documentId="8_{7348803F-A3E8-4244-B040-E3EC19722C1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Return &amp; Risiko" sheetId="1" r:id="rId1"/>
    <sheet name="Matriks Korelasi" sheetId="2" r:id="rId2"/>
    <sheet name="HBA HMA" sheetId="5" r:id="rId3"/>
    <sheet name="Perhitungan Lengkap" sheetId="3" r:id="rId4"/>
  </sheets>
  <definedNames>
    <definedName name="_xlnm._FilterDatabase" localSheetId="1" hidden="1">'Matriks Korelasi'!$B$4:$BP$17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A6" i="1"/>
  <c r="A7" i="1"/>
  <c r="A5" i="1"/>
  <c r="H5" i="1"/>
  <c r="G5" i="1"/>
  <c r="G11" i="1"/>
  <c r="F5" i="1"/>
  <c r="G13" i="1"/>
  <c r="CY3" i="5" l="1"/>
  <c r="CZ3" i="5"/>
  <c r="DB3" i="5" s="1"/>
  <c r="DA3" i="5"/>
  <c r="DC3" i="5"/>
  <c r="DD3" i="5"/>
  <c r="DE3" i="5" s="1"/>
  <c r="DF3" i="5"/>
  <c r="DG3" i="5"/>
  <c r="CY4" i="5"/>
  <c r="CZ4" i="5"/>
  <c r="DA4" i="5"/>
  <c r="DB4" i="5"/>
  <c r="DC4" i="5"/>
  <c r="DD4" i="5"/>
  <c r="DE4" i="5"/>
  <c r="DF4" i="5"/>
  <c r="DG4" i="5"/>
  <c r="CY5" i="5"/>
  <c r="CZ5" i="5"/>
  <c r="DA5" i="5"/>
  <c r="DB5" i="5"/>
  <c r="DE5" i="5" s="1"/>
  <c r="DC5" i="5"/>
  <c r="DD5" i="5"/>
  <c r="DF5" i="5"/>
  <c r="DG5" i="5"/>
  <c r="CY6" i="5"/>
  <c r="CZ6" i="5"/>
  <c r="DA6" i="5"/>
  <c r="DB6" i="5"/>
  <c r="DC6" i="5"/>
  <c r="DD6" i="5" s="1"/>
  <c r="DE6" i="5" s="1"/>
  <c r="DF6" i="5"/>
  <c r="DG6" i="5"/>
  <c r="CY7" i="5"/>
  <c r="CZ7" i="5"/>
  <c r="DB7" i="5" s="1"/>
  <c r="DE7" i="5" s="1"/>
  <c r="DA7" i="5"/>
  <c r="DC7" i="5"/>
  <c r="DD7" i="5"/>
  <c r="DF7" i="5"/>
  <c r="DG7" i="5"/>
  <c r="CY8" i="5"/>
  <c r="CZ8" i="5"/>
  <c r="DA8" i="5"/>
  <c r="DB8" i="5" s="1"/>
  <c r="DC8" i="5"/>
  <c r="DD8" i="5" s="1"/>
  <c r="DE8" i="5" s="1"/>
  <c r="DF8" i="5"/>
  <c r="DG8" i="5"/>
  <c r="CY9" i="5"/>
  <c r="CZ9" i="5"/>
  <c r="DA9" i="5"/>
  <c r="DB9" i="5"/>
  <c r="DC9" i="5"/>
  <c r="DD9" i="5"/>
  <c r="DE9" i="5"/>
  <c r="DF9" i="5"/>
  <c r="DG9" i="5"/>
  <c r="CY10" i="5"/>
  <c r="CZ10" i="5"/>
  <c r="DA10" i="5"/>
  <c r="DB10" i="5" s="1"/>
  <c r="DE10" i="5" s="1"/>
  <c r="DC10" i="5"/>
  <c r="DD10" i="5"/>
  <c r="DF10" i="5"/>
  <c r="DG10" i="5"/>
  <c r="CY11" i="5"/>
  <c r="CZ11" i="5"/>
  <c r="DA11" i="5"/>
  <c r="DB11" i="5"/>
  <c r="DC11" i="5"/>
  <c r="DD11" i="5"/>
  <c r="DE11" i="5"/>
  <c r="DF11" i="5"/>
  <c r="DG11" i="5"/>
  <c r="CY12" i="5"/>
  <c r="CZ12" i="5"/>
  <c r="DA12" i="5"/>
  <c r="DB12" i="5"/>
  <c r="DC12" i="5"/>
  <c r="DD12" i="5" s="1"/>
  <c r="DE12" i="5" s="1"/>
  <c r="DF12" i="5"/>
  <c r="DG12" i="5"/>
  <c r="CY13" i="5"/>
  <c r="CZ13" i="5"/>
  <c r="DA13" i="5"/>
  <c r="DB13" i="5"/>
  <c r="DC13" i="5"/>
  <c r="DD13" i="5"/>
  <c r="DE13" i="5" s="1"/>
  <c r="DF13" i="5"/>
  <c r="DG13" i="5"/>
  <c r="CY14" i="5"/>
  <c r="CZ14" i="5"/>
  <c r="DA14" i="5"/>
  <c r="DB14" i="5" s="1"/>
  <c r="DE14" i="5" s="1"/>
  <c r="DC14" i="5"/>
  <c r="DD14" i="5"/>
  <c r="DF14" i="5"/>
  <c r="DG14" i="5"/>
  <c r="CY15" i="5"/>
  <c r="CZ15" i="5"/>
  <c r="DA15" i="5"/>
  <c r="DB15" i="5"/>
  <c r="DC15" i="5"/>
  <c r="DD15" i="5"/>
  <c r="DE15" i="5" s="1"/>
  <c r="DF15" i="5"/>
  <c r="DG15" i="5"/>
  <c r="DD5" i="3"/>
  <c r="DD6" i="3"/>
  <c r="DD11" i="3"/>
  <c r="DO5" i="3" s="1"/>
  <c r="DD12" i="3"/>
  <c r="DD13" i="3"/>
  <c r="DO6" i="3" s="1"/>
  <c r="DD14" i="3"/>
  <c r="DD15" i="3"/>
  <c r="CY3" i="3"/>
  <c r="CY4" i="3"/>
  <c r="CY5" i="3"/>
  <c r="CY6" i="3"/>
  <c r="CY7" i="3"/>
  <c r="CY8" i="3"/>
  <c r="CY9" i="3"/>
  <c r="CY10" i="3"/>
  <c r="DG4" i="3"/>
  <c r="DG5" i="3"/>
  <c r="DG6" i="3"/>
  <c r="DG7" i="3"/>
  <c r="DG8" i="3"/>
  <c r="DG9" i="3"/>
  <c r="DG10" i="3"/>
  <c r="DG11" i="3"/>
  <c r="DG12" i="3"/>
  <c r="DG13" i="3"/>
  <c r="DG14" i="3"/>
  <c r="DG15" i="3"/>
  <c r="DF4" i="3"/>
  <c r="DF5" i="3"/>
  <c r="DF6" i="3"/>
  <c r="DF7" i="3"/>
  <c r="DF8" i="3"/>
  <c r="DF9" i="3"/>
  <c r="DF10" i="3"/>
  <c r="DF11" i="3"/>
  <c r="DF12" i="3"/>
  <c r="DF13" i="3"/>
  <c r="DF14" i="3"/>
  <c r="DF15" i="3"/>
  <c r="DG3" i="3"/>
  <c r="DF3" i="3"/>
  <c r="DC4" i="3"/>
  <c r="DD4" i="3" s="1"/>
  <c r="DC5" i="3"/>
  <c r="DC6" i="3"/>
  <c r="DC7" i="3"/>
  <c r="DD7" i="3" s="1"/>
  <c r="DC8" i="3"/>
  <c r="DD8" i="3" s="1"/>
  <c r="DC9" i="3"/>
  <c r="DD9" i="3" s="1"/>
  <c r="DC10" i="3"/>
  <c r="DD10" i="3" s="1"/>
  <c r="DO4" i="3" s="1"/>
  <c r="DC11" i="3"/>
  <c r="DC12" i="3"/>
  <c r="DC13" i="3"/>
  <c r="DC14" i="3"/>
  <c r="DC15" i="3"/>
  <c r="DC3" i="3"/>
  <c r="DD3" i="3" s="1"/>
  <c r="DA4" i="3"/>
  <c r="DA5" i="3"/>
  <c r="DA6" i="3"/>
  <c r="DA7" i="3"/>
  <c r="DA8" i="3"/>
  <c r="DA9" i="3"/>
  <c r="DA10" i="3"/>
  <c r="DA11" i="3"/>
  <c r="DA12" i="3"/>
  <c r="DA13" i="3"/>
  <c r="DA14" i="3"/>
  <c r="DA15" i="3"/>
  <c r="CZ14" i="3"/>
  <c r="CZ15" i="3"/>
  <c r="DA3" i="3"/>
  <c r="BS5" i="2"/>
  <c r="BT5" i="2" s="1"/>
  <c r="BW5" i="2" s="1"/>
  <c r="CZ4" i="3"/>
  <c r="CZ5" i="3"/>
  <c r="DB5" i="3" s="1"/>
  <c r="DH5" i="3" s="1"/>
  <c r="CZ6" i="3"/>
  <c r="DB6" i="3" s="1"/>
  <c r="DH6" i="3" s="1"/>
  <c r="CZ7" i="3"/>
  <c r="CZ8" i="3"/>
  <c r="CZ9" i="3"/>
  <c r="DB9" i="3" s="1"/>
  <c r="DH9" i="3" s="1"/>
  <c r="DL7" i="3" s="1"/>
  <c r="CZ10" i="3"/>
  <c r="CZ11" i="3"/>
  <c r="CZ12" i="3"/>
  <c r="CZ13" i="3"/>
  <c r="CY11" i="3"/>
  <c r="CY12" i="3"/>
  <c r="CY13" i="3"/>
  <c r="CY14" i="3"/>
  <c r="CY15" i="3"/>
  <c r="CZ3" i="3"/>
  <c r="BQ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S6" i="2"/>
  <c r="BS7" i="2"/>
  <c r="BS8" i="2"/>
  <c r="BS9" i="2"/>
  <c r="BS10" i="2"/>
  <c r="BS11" i="2"/>
  <c r="BS12" i="2"/>
  <c r="BS13" i="2"/>
  <c r="BS14" i="2"/>
  <c r="BS15" i="2"/>
  <c r="BS16" i="2"/>
  <c r="BS1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5" i="2"/>
  <c r="BQ6" i="2"/>
  <c r="BQ7" i="2"/>
  <c r="BQ8" i="2"/>
  <c r="BQ9" i="2"/>
  <c r="BQ10" i="2"/>
  <c r="BQ11" i="2"/>
  <c r="BQ12" i="2"/>
  <c r="BQ13" i="2"/>
  <c r="BQ14" i="2"/>
  <c r="BQ15" i="2"/>
  <c r="BQ16" i="2"/>
  <c r="BQ17" i="2"/>
  <c r="A12" i="1"/>
  <c r="A13" i="1"/>
  <c r="A11" i="1"/>
  <c r="J11" i="1"/>
  <c r="H11" i="1"/>
  <c r="G12" i="1"/>
  <c r="F12" i="1"/>
  <c r="F13" i="1"/>
  <c r="F11" i="1"/>
  <c r="E13" i="1"/>
  <c r="E12" i="1"/>
  <c r="E11" i="1"/>
  <c r="F6" i="1"/>
  <c r="F7" i="1"/>
  <c r="E6" i="1"/>
  <c r="E7" i="1"/>
  <c r="E5" i="1"/>
  <c r="DE9" i="3" l="1"/>
  <c r="DO7" i="3"/>
  <c r="DB3" i="3"/>
  <c r="DH3" i="3" s="1"/>
  <c r="DB8" i="3"/>
  <c r="DH8" i="3" s="1"/>
  <c r="DB7" i="3"/>
  <c r="DH7" i="3" s="1"/>
  <c r="DB15" i="3"/>
  <c r="DH15" i="3" s="1"/>
  <c r="DE6" i="3"/>
  <c r="DB4" i="3"/>
  <c r="DH4" i="3" s="1"/>
  <c r="DE15" i="3"/>
  <c r="DE5" i="3"/>
  <c r="DB12" i="3"/>
  <c r="DB13" i="3"/>
  <c r="DB11" i="3"/>
  <c r="DB10" i="3"/>
  <c r="DB14" i="3"/>
  <c r="G7" i="1"/>
  <c r="G6" i="1"/>
  <c r="DE12" i="3" l="1"/>
  <c r="DH12" i="3"/>
  <c r="DE7" i="3"/>
  <c r="DE8" i="3"/>
  <c r="DE10" i="3"/>
  <c r="DH10" i="3"/>
  <c r="DL4" i="3" s="1"/>
  <c r="DE4" i="3"/>
  <c r="DE14" i="3"/>
  <c r="DH14" i="3"/>
  <c r="DE11" i="3"/>
  <c r="DH11" i="3"/>
  <c r="DL5" i="3" s="1"/>
  <c r="DM5" i="3" s="1"/>
  <c r="DN5" i="3" s="1"/>
  <c r="DE13" i="3"/>
  <c r="DH13" i="3"/>
  <c r="DL6" i="3" s="1"/>
  <c r="DM6" i="3" s="1"/>
  <c r="DN6" i="3" s="1"/>
  <c r="DE3" i="3"/>
  <c r="I5" i="1"/>
  <c r="J5" i="1"/>
  <c r="DM4" i="3" l="1"/>
  <c r="DM7" i="3"/>
  <c r="DN7" i="3" s="1"/>
  <c r="DP4" i="3" l="1"/>
  <c r="DN4" i="3"/>
</calcChain>
</file>

<file path=xl/sharedStrings.xml><?xml version="1.0" encoding="utf-8"?>
<sst xmlns="http://schemas.openxmlformats.org/spreadsheetml/2006/main" count="388" uniqueCount="167">
  <si>
    <t>Komoditas</t>
  </si>
  <si>
    <t>Return</t>
  </si>
  <si>
    <t>Risiko</t>
  </si>
  <si>
    <t>Sharpe Ratio</t>
  </si>
  <si>
    <t>ERC</t>
  </si>
  <si>
    <t>Portofolio Allocation</t>
  </si>
  <si>
    <t>Portofolio Return</t>
  </si>
  <si>
    <t>Portofolio Risk</t>
  </si>
  <si>
    <t>Portofolio Sharpe Ratio</t>
  </si>
  <si>
    <t>Tembaga (Cu)</t>
  </si>
  <si>
    <t>Batubara</t>
  </si>
  <si>
    <t>Timah (Sn)</t>
  </si>
  <si>
    <t>Nikel (Ni)</t>
  </si>
  <si>
    <t>Zinc (Zn)</t>
  </si>
  <si>
    <t>Aluminium (Al)</t>
  </si>
  <si>
    <t>diliat yang dibawah nikel</t>
  </si>
  <si>
    <t>selama 5 tahun</t>
  </si>
  <si>
    <t>selama 1 tahun</t>
  </si>
  <si>
    <t>jangan dipilih</t>
  </si>
  <si>
    <t>Agustus 2020</t>
  </si>
  <si>
    <t>Oktober 2020</t>
  </si>
  <si>
    <t>Desember 2020</t>
  </si>
  <si>
    <t>Januari 2021</t>
  </si>
  <si>
    <t>Februari 2021</t>
  </si>
  <si>
    <t>Maret 2021</t>
  </si>
  <si>
    <t>Mei 2021</t>
  </si>
  <si>
    <t>Juni 2021</t>
  </si>
  <si>
    <t>Juli 2021</t>
  </si>
  <si>
    <t>Agustus 2021</t>
  </si>
  <si>
    <t>Oktober 2021</t>
  </si>
  <si>
    <t>Desember 2021</t>
  </si>
  <si>
    <t>Januari 2022</t>
  </si>
  <si>
    <t>Februari 2022</t>
  </si>
  <si>
    <t>Maret 2022</t>
  </si>
  <si>
    <t>Mei 2022</t>
  </si>
  <si>
    <t>Juni 2022</t>
  </si>
  <si>
    <t>Juli 2022</t>
  </si>
  <si>
    <t>Agustus 2022</t>
  </si>
  <si>
    <t>Oktober 2022</t>
  </si>
  <si>
    <t>Desember 2022</t>
  </si>
  <si>
    <t>Januari 2023</t>
  </si>
  <si>
    <t>Februari 2023</t>
  </si>
  <si>
    <t>Maret 2023</t>
  </si>
  <si>
    <t>Mei 2023</t>
  </si>
  <si>
    <t>Juni 2023</t>
  </si>
  <si>
    <t>Juli 2023</t>
  </si>
  <si>
    <t>Agustus 2023</t>
  </si>
  <si>
    <t>Oktober 2023</t>
  </si>
  <si>
    <t>Desember 2023</t>
  </si>
  <si>
    <t>Januari 2024</t>
  </si>
  <si>
    <t>Februari 2024</t>
  </si>
  <si>
    <t>Maret 2024</t>
  </si>
  <si>
    <t>Mei 2024</t>
  </si>
  <si>
    <t>Juni 2024</t>
  </si>
  <si>
    <t>Juli 2024</t>
  </si>
  <si>
    <t>Agustus 2024</t>
  </si>
  <si>
    <t>Oktober 2024</t>
  </si>
  <si>
    <t>Desember 2024</t>
  </si>
  <si>
    <t>Januari 2025</t>
  </si>
  <si>
    <t>Februari 2025</t>
  </si>
  <si>
    <t>Maret 2025 (Periode Pertama)</t>
  </si>
  <si>
    <t>Maret 2025 (Periode Kedua)</t>
  </si>
  <si>
    <t>April 2025 (Periode Pertama)</t>
  </si>
  <si>
    <t>April 2025 (Periode Kedua)</t>
  </si>
  <si>
    <t>Mei 2025 (Periode Pertama)</t>
  </si>
  <si>
    <t>Mei 2025 (Periode Kedua)</t>
  </si>
  <si>
    <t>Juni 2025 (Periode Pertama)</t>
  </si>
  <si>
    <t>Juni 2025 (Periode Kedua)</t>
  </si>
  <si>
    <t>Juli 2025 (Periode Pertama)</t>
  </si>
  <si>
    <t>Juli 2025 (Periode Kedua)</t>
  </si>
  <si>
    <t>Agustus 2025 (Periode Pertama)</t>
  </si>
  <si>
    <t>korelasi</t>
  </si>
  <si>
    <t>average</t>
  </si>
  <si>
    <t>std</t>
  </si>
  <si>
    <t>coefficient of variability</t>
  </si>
  <si>
    <t>return</t>
  </si>
  <si>
    <t>annualized return</t>
  </si>
  <si>
    <t>sharpe ratio</t>
  </si>
  <si>
    <t>Kobalt</t>
  </si>
  <si>
    <r>
      <t>Kobalt </t>
    </r>
    <r>
      <rPr>
        <sz val="6"/>
        <color rgb="FF000000"/>
        <rFont val="Roboto"/>
      </rPr>
      <t>(USD/dmt)</t>
    </r>
  </si>
  <si>
    <t>Nikel</t>
  </si>
  <si>
    <r>
      <t>Nikel </t>
    </r>
    <r>
      <rPr>
        <sz val="6"/>
        <color rgb="FF000000"/>
        <rFont val="Roboto"/>
      </rPr>
      <t>(USD/dmt)</t>
    </r>
  </si>
  <si>
    <t>Seng</t>
  </si>
  <si>
    <r>
      <t>Seng </t>
    </r>
    <r>
      <rPr>
        <sz val="6"/>
        <color rgb="FF000000"/>
        <rFont val="Roboto"/>
      </rPr>
      <t>(USD/dmt)</t>
    </r>
  </si>
  <si>
    <t>Tembaga</t>
  </si>
  <si>
    <r>
      <t>Tembaga </t>
    </r>
    <r>
      <rPr>
        <sz val="6"/>
        <color rgb="FF000000"/>
        <rFont val="Roboto"/>
      </rPr>
      <t>(USD/dmt)</t>
    </r>
  </si>
  <si>
    <t>Aluminium</t>
  </si>
  <si>
    <r>
      <t>Aluminium </t>
    </r>
    <r>
      <rPr>
        <sz val="6"/>
        <color rgb="FF000000"/>
        <rFont val="Roboto"/>
      </rPr>
      <t>(USD/dmt)</t>
    </r>
  </si>
  <si>
    <t>Timbal</t>
  </si>
  <si>
    <r>
      <t>Timbal </t>
    </r>
    <r>
      <rPr>
        <sz val="6"/>
        <color rgb="FF000000"/>
        <rFont val="Roboto"/>
      </rPr>
      <t>(USD/dmt)</t>
    </r>
  </si>
  <si>
    <r>
      <t>Batubara </t>
    </r>
    <r>
      <rPr>
        <sz val="6"/>
        <color rgb="FF000000"/>
        <rFont val="Roboto"/>
      </rPr>
      <t>(USD/ton)</t>
    </r>
  </si>
  <si>
    <t>Titanium</t>
  </si>
  <si>
    <r>
      <t>Konsentrat Titanium </t>
    </r>
    <r>
      <rPr>
        <sz val="6"/>
        <color rgb="FF000000"/>
        <rFont val="Roboto"/>
      </rPr>
      <t>(USD/dmt)</t>
    </r>
  </si>
  <si>
    <t>Mangan</t>
  </si>
  <si>
    <r>
      <t>Mangan </t>
    </r>
    <r>
      <rPr>
        <sz val="6"/>
        <color rgb="FF000000"/>
        <rFont val="Roboto"/>
      </rPr>
      <t>(USD/dmt)</t>
    </r>
  </si>
  <si>
    <t>Besi</t>
  </si>
  <si>
    <r>
      <t>Bijih Besi Laterit/Hematit/Magnetit </t>
    </r>
    <r>
      <rPr>
        <sz val="6"/>
        <color rgb="FF000000"/>
        <rFont val="Roboto"/>
      </rPr>
      <t>(USD/dmt)</t>
    </r>
  </si>
  <si>
    <t>Krom</t>
  </si>
  <si>
    <r>
      <t>Bijih Krom </t>
    </r>
    <r>
      <rPr>
        <sz val="6"/>
        <color rgb="FF000000"/>
        <rFont val="Roboto"/>
      </rPr>
      <t>(USD/dmt)</t>
    </r>
  </si>
  <si>
    <t>Perak</t>
  </si>
  <si>
    <r>
      <t>Perak sebagai mineral ikutan </t>
    </r>
    <r>
      <rPr>
        <sz val="6"/>
        <color rgb="FF000000"/>
        <rFont val="Roboto"/>
      </rPr>
      <t>(USD/Troy Ounce)</t>
    </r>
  </si>
  <si>
    <t>Emas</t>
  </si>
  <si>
    <r>
      <t>Emas sebagai mineral ikutan </t>
    </r>
    <r>
      <rPr>
        <sz val="6"/>
        <color rgb="FF000000"/>
        <rFont val="Roboto"/>
      </rPr>
      <t>(USD/Troy Ounce)</t>
    </r>
  </si>
  <si>
    <t>yang tidak berkorelasi</t>
  </si>
  <si>
    <t>cari yang di bawah 0.5</t>
  </si>
  <si>
    <t>Timah</t>
  </si>
  <si>
    <t>ini untuk di Indonesia karena yang dipakainya HPM</t>
  </si>
  <si>
    <t>pick yg bs ditambang</t>
  </si>
  <si>
    <t>dibuat untuk MAA yg mayoritas komoditasnya nikel</t>
  </si>
  <si>
    <t>Desember 2017</t>
  </si>
  <si>
    <t>Januari 2018</t>
  </si>
  <si>
    <t>Februari 2018</t>
  </si>
  <si>
    <t>Maret 2018</t>
  </si>
  <si>
    <t>Mei 2018</t>
  </si>
  <si>
    <t>Juni 2018</t>
  </si>
  <si>
    <t>Juli 2018</t>
  </si>
  <si>
    <t>Agustus 2018</t>
  </si>
  <si>
    <t>Oktober 2018</t>
  </si>
  <si>
    <t>Desember 2018</t>
  </si>
  <si>
    <t>Januari 2019</t>
  </si>
  <si>
    <t>Februari 2019</t>
  </si>
  <si>
    <t>Maret 2019</t>
  </si>
  <si>
    <t>Mei 2019</t>
  </si>
  <si>
    <t>Juni 2019</t>
  </si>
  <si>
    <t>Juli 2019</t>
  </si>
  <si>
    <t>Agustus 2019</t>
  </si>
  <si>
    <t>Oktober 2019</t>
  </si>
  <si>
    <t>Desember 2019</t>
  </si>
  <si>
    <t>Januari 2020</t>
  </si>
  <si>
    <t>Februari 2020</t>
  </si>
  <si>
    <t>Maret 2020</t>
  </si>
  <si>
    <t>Mei 2020</t>
  </si>
  <si>
    <t>Juni 2020</t>
  </si>
  <si>
    <t>Juli 2020</t>
  </si>
  <si>
    <t>Agustus 2025 (Periode Kedua)</t>
  </si>
  <si>
    <t>Batubara (USD/ton)</t>
  </si>
  <si>
    <t>Kobalt (USD/dmt)</t>
  </si>
  <si>
    <t>Timbal (USD/dmt)</t>
  </si>
  <si>
    <t>Seng (USD/dmt)</t>
  </si>
  <si>
    <r>
      <t>Nikel </t>
    </r>
    <r>
      <rPr>
        <sz val="10"/>
        <color rgb="FF000000"/>
        <rFont val="Arial"/>
        <family val="2"/>
      </rPr>
      <t>(USD/dmt)</t>
    </r>
  </si>
  <si>
    <r>
      <t>Aluminium </t>
    </r>
    <r>
      <rPr>
        <sz val="10"/>
        <color rgb="FF000000"/>
        <rFont val="Arial"/>
        <family val="2"/>
      </rPr>
      <t>(USD/dmt)</t>
    </r>
  </si>
  <si>
    <r>
      <t>Tembaga </t>
    </r>
    <r>
      <rPr>
        <sz val="10"/>
        <color rgb="FF000000"/>
        <rFont val="Arial"/>
        <family val="2"/>
      </rPr>
      <t>(USD/dmt)</t>
    </r>
  </si>
  <si>
    <r>
      <t>Emas sebagai mineral ikutan </t>
    </r>
    <r>
      <rPr>
        <sz val="10"/>
        <color rgb="FF000000"/>
        <rFont val="Arial"/>
        <family val="2"/>
      </rPr>
      <t>(USD/Troy Ounce)</t>
    </r>
  </si>
  <si>
    <r>
      <t>Perak sebagai mineral ikutan </t>
    </r>
    <r>
      <rPr>
        <sz val="10"/>
        <color rgb="FF000000"/>
        <rFont val="Arial"/>
        <family val="2"/>
      </rPr>
      <t>(USD/Troy Ounce)</t>
    </r>
  </si>
  <si>
    <r>
      <t>Mangan </t>
    </r>
    <r>
      <rPr>
        <sz val="10"/>
        <color rgb="FF000000"/>
        <rFont val="Arial"/>
        <family val="2"/>
      </rPr>
      <t>(USD/dmt)</t>
    </r>
  </si>
  <si>
    <r>
      <t>Bijih Besi Laterit/Hematit/Magnetit </t>
    </r>
    <r>
      <rPr>
        <sz val="10"/>
        <color rgb="FF000000"/>
        <rFont val="Arial"/>
        <family val="2"/>
      </rPr>
      <t>(USD/dmt)</t>
    </r>
  </si>
  <si>
    <r>
      <t>Bijih Krom </t>
    </r>
    <r>
      <rPr>
        <sz val="10"/>
        <color rgb="FF000000"/>
        <rFont val="Arial"/>
        <family val="2"/>
      </rPr>
      <t>(USD/dmt)</t>
    </r>
  </si>
  <si>
    <r>
      <t>Konsentrat Titanium </t>
    </r>
    <r>
      <rPr>
        <sz val="5"/>
        <color theme="1"/>
        <rFont val="Calibri"/>
        <family val="2"/>
        <scheme val="minor"/>
      </rPr>
      <t>(USD/dmt)</t>
    </r>
  </si>
  <si>
    <t>Coal</t>
  </si>
  <si>
    <t>di bawah garis nikel: merah</t>
  </si>
  <si>
    <t xml:space="preserve">di atas garis nikel: </t>
  </si>
  <si>
    <t>korelasi tinggi: oren</t>
  </si>
  <si>
    <t>korelasi rendah, tapi tidak masuk lingkup bisnis MAA: kuning</t>
  </si>
  <si>
    <t>korelasi rendah, dan masuk lingkup bisnis MAA: hijau</t>
  </si>
  <si>
    <t>karena keterbatasan perusahaan terbuka untuk melihat komoditas yang beragam</t>
  </si>
  <si>
    <t>ruang lingkup: hanya mempertimbangkan komoditas</t>
  </si>
  <si>
    <t>kita memperbanyak keragaman komoditas, namun hasilnya tidak begitu akurat</t>
  </si>
  <si>
    <t>korelasi, rerata, standar deviasi, coefficient of variability, return, annualized return, dan sharpe ratio</t>
  </si>
  <si>
    <t>min</t>
  </si>
  <si>
    <t>max</t>
  </si>
  <si>
    <t>equal risk contribution</t>
  </si>
  <si>
    <t>Portofolio</t>
  </si>
  <si>
    <t>spare capital</t>
  </si>
  <si>
    <t>ERC = menyetarakan risiko antara komoditas</t>
  </si>
  <si>
    <t>pembuktiannya:</t>
  </si>
  <si>
    <t>Portofolio return (alpha)</t>
  </si>
  <si>
    <t>Portofolio adjusted risk (risk 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</si>
</sst>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"/>
    <numFmt numFmtId="167" formatCode="0.00000000000000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Roboto"/>
    </font>
    <font>
      <sz val="8"/>
      <color rgb="FF000000"/>
      <name val="Roboto"/>
    </font>
    <font>
      <sz val="6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3737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7D7D7"/>
      </left>
      <right style="medium">
        <color rgb="FFD7D7D7"/>
      </right>
      <top style="medium">
        <color rgb="FFDDDDDD"/>
      </top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DDDDD"/>
      </bottom>
      <diagonal/>
    </border>
    <border>
      <left style="medium">
        <color rgb="FFD7D7D7"/>
      </left>
      <right style="medium">
        <color rgb="FFD7D7D7"/>
      </right>
      <top style="medium">
        <color rgb="FFDDDDDD"/>
      </top>
      <bottom style="medium">
        <color rgb="FFD7D7D7"/>
      </bottom>
      <diagonal/>
    </border>
    <border>
      <left/>
      <right/>
      <top style="thin">
        <color auto="1"/>
      </top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17" fontId="3" fillId="2" borderId="3" xfId="0" applyNumberFormat="1" applyFont="1" applyFill="1" applyBorder="1" applyAlignment="1">
      <alignment horizontal="center" wrapText="1"/>
    </xf>
    <xf numFmtId="164" fontId="0" fillId="0" borderId="0" xfId="1" applyNumberFormat="1" applyFont="1"/>
    <xf numFmtId="0" fontId="0" fillId="5" borderId="0" xfId="0" applyFill="1"/>
    <xf numFmtId="0" fontId="4" fillId="5" borderId="2" xfId="0" applyFont="1" applyFill="1" applyBorder="1" applyAlignment="1">
      <alignment vertical="top" wrapText="1"/>
    </xf>
    <xf numFmtId="0" fontId="0" fillId="6" borderId="0" xfId="0" applyFill="1"/>
    <xf numFmtId="0" fontId="4" fillId="6" borderId="2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2" fontId="0" fillId="0" borderId="0" xfId="0" applyNumberFormat="1"/>
    <xf numFmtId="0" fontId="4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17" fontId="8" fillId="2" borderId="6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0" fontId="0" fillId="0" borderId="0" xfId="2" applyNumberFormat="1" applyFont="1"/>
    <xf numFmtId="167" fontId="0" fillId="0" borderId="0" xfId="0" applyNumberFormat="1"/>
    <xf numFmtId="10" fontId="0" fillId="0" borderId="0" xfId="0" applyNumberFormat="1"/>
    <xf numFmtId="9" fontId="0" fillId="0" borderId="0" xfId="2" applyFont="1" applyAlignment="1"/>
    <xf numFmtId="9" fontId="0" fillId="0" borderId="5" xfId="2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return</a:t>
            </a:r>
            <a:r>
              <a:rPr lang="en-ID" baseline="0"/>
              <a:t> vs risk profile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EBB4-4DE2-BA41-D31E1103287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F3D3874-F845-4492-AC9D-C77CCF797FB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BB4-4DE2-BA41-D31E110328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5BE2C13-D699-4C4B-B5A7-67134470020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B4-4DE2-BA41-D31E110328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8061F6-222C-46A4-B987-D4F8631A7C1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B4-4DE2-BA41-D31E11032871}"/>
                </c:ext>
              </c:extLst>
            </c:dLbl>
            <c:dLbl>
              <c:idx val="3"/>
              <c:layout>
                <c:manualLayout>
                  <c:x val="-0.14811111111111114"/>
                  <c:y val="-2.2801837270341207E-3"/>
                </c:manualLayout>
              </c:layout>
              <c:tx>
                <c:rich>
                  <a:bodyPr/>
                  <a:lstStyle/>
                  <a:p>
                    <a:fld id="{6A15B63A-7261-4392-887D-B4570341C11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BB4-4DE2-BA41-D31E110328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ED9375B-1A5C-4C47-91A7-D48E5EB4D41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B4-4DE2-BA41-D31E1103287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8B25C7-B13A-4C5C-AFED-598078FBE8B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B4-4DE2-BA41-D31E1103287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662F16-994A-4E38-A9B3-D0668328259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B4-4DE2-BA41-D31E1103287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1F0EB8E-1EB6-404C-9E61-B511B39AD0D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B4-4DE2-BA41-D31E1103287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4651B66-6914-486B-A1A7-ADFE65528D6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B4-4DE2-BA41-D31E1103287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2277C7-87A7-4730-A85C-764725DE6E68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B4-4DE2-BA41-D31E1103287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1DB4A59-7AB7-4FE3-AB40-50BA3101B2A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B4-4DE2-BA41-D31E1103287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8310FF0-A0F5-41F2-B662-7776478B2FEE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B4-4DE2-BA41-D31E1103287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ABF2500-56CD-4CE1-A49C-A9236C2995D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B4-4DE2-BA41-D31E110328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'Matriks Korelasi'!$BT$5:$BT$17</c:f>
              <c:numCache>
                <c:formatCode>0%</c:formatCode>
                <c:ptCount val="13"/>
                <c:pt idx="0">
                  <c:v>0.38215744806225072</c:v>
                </c:pt>
                <c:pt idx="1">
                  <c:v>0.24721128744779763</c:v>
                </c:pt>
                <c:pt idx="2">
                  <c:v>0.14550811886711321</c:v>
                </c:pt>
                <c:pt idx="3">
                  <c:v>0.10913419815541517</c:v>
                </c:pt>
                <c:pt idx="4">
                  <c:v>0.14453922922126219</c:v>
                </c:pt>
                <c:pt idx="5">
                  <c:v>7.0681535453625086E-2</c:v>
                </c:pt>
                <c:pt idx="6">
                  <c:v>0.50706790168262417</c:v>
                </c:pt>
                <c:pt idx="7">
                  <c:v>0.17395820110509569</c:v>
                </c:pt>
                <c:pt idx="8">
                  <c:v>0.11214321351098852</c:v>
                </c:pt>
                <c:pt idx="9">
                  <c:v>0.25107113920063623</c:v>
                </c:pt>
                <c:pt idx="10">
                  <c:v>0.30489541035133189</c:v>
                </c:pt>
                <c:pt idx="11">
                  <c:v>0.17585979452502087</c:v>
                </c:pt>
                <c:pt idx="12">
                  <c:v>0.23806808341663549</c:v>
                </c:pt>
              </c:numCache>
            </c:numRef>
          </c:xVal>
          <c:yVal>
            <c:numRef>
              <c:f>'Matriks Korelasi'!$BV$5:$BV$17</c:f>
              <c:numCache>
                <c:formatCode>0%</c:formatCode>
                <c:ptCount val="13"/>
                <c:pt idx="0">
                  <c:v>2.8715730748975821E-2</c:v>
                </c:pt>
                <c:pt idx="1">
                  <c:v>2.9349232123298208E-2</c:v>
                </c:pt>
                <c:pt idx="2">
                  <c:v>5.7371268453118685E-2</c:v>
                </c:pt>
                <c:pt idx="3">
                  <c:v>9.5978328196901996E-2</c:v>
                </c:pt>
                <c:pt idx="4">
                  <c:v>0.10155028820047329</c:v>
                </c:pt>
                <c:pt idx="5">
                  <c:v>2.1152127651627772E-2</c:v>
                </c:pt>
                <c:pt idx="6">
                  <c:v>0.15219114469774619</c:v>
                </c:pt>
                <c:pt idx="7">
                  <c:v>1.8493015881265285E-2</c:v>
                </c:pt>
                <c:pt idx="8">
                  <c:v>-8.5344442904696671E-2</c:v>
                </c:pt>
                <c:pt idx="9">
                  <c:v>-1.2051713658030372E-2</c:v>
                </c:pt>
                <c:pt idx="10">
                  <c:v>0.19906095641936461</c:v>
                </c:pt>
                <c:pt idx="11">
                  <c:v>0.15660582308009308</c:v>
                </c:pt>
                <c:pt idx="12">
                  <c:v>0.13401960471751706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'Matriks Korelasi'!$A$5:$A$17</c15:f>
                <c15:dlblRangeCache>
                  <c:ptCount val="13"/>
                  <c:pt idx="0">
                    <c:v>Kobalt</c:v>
                  </c:pt>
                  <c:pt idx="1">
                    <c:v>Nikel</c:v>
                  </c:pt>
                  <c:pt idx="2">
                    <c:v>Seng</c:v>
                  </c:pt>
                  <c:pt idx="3">
                    <c:v>Tembaga</c:v>
                  </c:pt>
                  <c:pt idx="4">
                    <c:v>Aluminium</c:v>
                  </c:pt>
                  <c:pt idx="5">
                    <c:v>Timbal</c:v>
                  </c:pt>
                  <c:pt idx="6">
                    <c:v>Batubara</c:v>
                  </c:pt>
                  <c:pt idx="7">
                    <c:v>Titanium</c:v>
                  </c:pt>
                  <c:pt idx="8">
                    <c:v>Mangan</c:v>
                  </c:pt>
                  <c:pt idx="9">
                    <c:v>Besi</c:v>
                  </c:pt>
                  <c:pt idx="10">
                    <c:v>Krom</c:v>
                  </c:pt>
                  <c:pt idx="11">
                    <c:v>Perak</c:v>
                  </c:pt>
                  <c:pt idx="12">
                    <c:v>Emas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BB4-4DE2-BA41-D31E110328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62966272"/>
        <c:axId val="762959072"/>
      </c:scatterChart>
      <c:valAx>
        <c:axId val="7629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59072"/>
        <c:crosses val="autoZero"/>
        <c:crossBetween val="midCat"/>
      </c:valAx>
      <c:valAx>
        <c:axId val="7629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6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9EF-4D24-81A7-C1DE99E2E59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9EF-4D24-81A7-C1DE99E2E59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9EF-4D24-81A7-C1DE99E2E59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9EF-4D24-81A7-C1DE99E2E59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9EF-4D24-81A7-C1DE99E2E59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9EF-4D24-81A7-C1DE99E2E59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9EF-4D24-81A7-C1DE99E2E59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9EF-4D24-81A7-C1DE99E2E59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9EF-4D24-81A7-C1DE99E2E59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9EF-4D24-81A7-C1DE99E2E59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9EF-4D24-81A7-C1DE99E2E59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D01CF45-2DA5-462A-87FD-2B3376A4C3D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39E0CE5-E907-44F2-B354-250699C7585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9EF-4D24-81A7-C1DE99E2E5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09FC0A2-045B-45C4-81D0-CC004A17ADD3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DBD87AE0-0DA2-4064-BE15-0585152D9009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EF-4D24-81A7-C1DE99E2E5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5186EB-2B0B-4434-B69C-396A96731A86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8220FB73-6504-4905-86ED-D7C5FA7D2BCC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9EF-4D24-81A7-C1DE99E2E59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E3F5AC9-8C25-4C23-9069-B77B2B0F54BE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C7225F13-1361-4197-951B-393D118DE170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9EF-4D24-81A7-C1DE99E2E59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CAAF0C1-BF72-430D-A5BB-D150616CD416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E3BBC46E-3810-4B1C-9246-E99435E5E704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9EF-4D24-81A7-C1DE99E2E59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941E5E1-D2E0-484D-B82F-EE654A914026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3F0F3518-1D95-471B-9891-1DF80E355C60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9EF-4D24-81A7-C1DE99E2E59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14FA9CE-B62B-45CC-91E9-86F33B039F83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66A97D33-69A8-4777-84DC-BC3A780EC216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9EF-4D24-81A7-C1DE99E2E59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12997E1-27DC-46A9-A5CA-EDC603E7E9C8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4CA131B9-4841-4CA4-8E76-75AAF1949E80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9EF-4D24-81A7-C1DE99E2E59F}"/>
                </c:ext>
              </c:extLst>
            </c:dLbl>
            <c:dLbl>
              <c:idx val="8"/>
              <c:layout>
                <c:manualLayout>
                  <c:x val="-9.672726874466081E-2"/>
                  <c:y val="-3.9381338558391842E-2"/>
                </c:manualLayout>
              </c:layout>
              <c:tx>
                <c:rich>
                  <a:bodyPr/>
                  <a:lstStyle/>
                  <a:p>
                    <a:fld id="{86572D4E-AB72-4C1B-B9E7-B89138747CF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F2CDC61-56C5-460C-8B66-E0385B59BB2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9EF-4D24-81A7-C1DE99E2E59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BFDD733-909F-46FF-B087-498F53823555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7BF1E83D-5786-430B-B23D-1F2251F0E9EB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9EF-4D24-81A7-C1DE99E2E59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66CF3B5-FEBB-45A8-83D6-0DB3E7437765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F74058E2-C11A-4F2E-96E8-0608AC542D65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9EF-4D24-81A7-C1DE99E2E59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AFF310A-8008-4733-9062-55D207136910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26F51C59-D5F6-4CE3-981A-8DE13F502D49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9EF-4D24-81A7-C1DE99E2E59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A910D07-BD87-4159-9550-DFBAAE882F38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34D33B99-0909-4610-BDCE-E5E8B34FBA2A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9EF-4D24-81A7-C1DE99E2E5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'HBA HMA'!$DB$3:$DB$15</c:f>
              <c:numCache>
                <c:formatCode>0%</c:formatCode>
                <c:ptCount val="13"/>
                <c:pt idx="0">
                  <c:v>0.56087456461112406</c:v>
                </c:pt>
                <c:pt idx="1">
                  <c:v>0.28548404073784756</c:v>
                </c:pt>
                <c:pt idx="2">
                  <c:v>0.41458405227512307</c:v>
                </c:pt>
                <c:pt idx="3">
                  <c:v>9.364680809185752E-2</c:v>
                </c:pt>
                <c:pt idx="4">
                  <c:v>0.15571551027981781</c:v>
                </c:pt>
                <c:pt idx="5">
                  <c:v>0.17665295301050851</c:v>
                </c:pt>
                <c:pt idx="6">
                  <c:v>0.19060225331153063</c:v>
                </c:pt>
                <c:pt idx="7">
                  <c:v>0.30601282070512037</c:v>
                </c:pt>
                <c:pt idx="8">
                  <c:v>0.2715933885491813</c:v>
                </c:pt>
                <c:pt idx="9">
                  <c:v>0.22164720531979082</c:v>
                </c:pt>
                <c:pt idx="10">
                  <c:v>0.34205547597963054</c:v>
                </c:pt>
                <c:pt idx="11">
                  <c:v>0.32985754890141461</c:v>
                </c:pt>
                <c:pt idx="12">
                  <c:v>0.1848312088397136</c:v>
                </c:pt>
              </c:numCache>
            </c:numRef>
          </c:xVal>
          <c:yVal>
            <c:numRef>
              <c:f>'HBA HMA'!$DD$3:$DD$15</c:f>
              <c:numCache>
                <c:formatCode>0%</c:formatCode>
                <c:ptCount val="13"/>
                <c:pt idx="0">
                  <c:v>7.563091871845673E-3</c:v>
                </c:pt>
                <c:pt idx="1">
                  <c:v>4.0757390699468488E-2</c:v>
                </c:pt>
                <c:pt idx="2">
                  <c:v>-7.060914352820169E-2</c:v>
                </c:pt>
                <c:pt idx="3">
                  <c:v>-2.9925911281795337E-2</c:v>
                </c:pt>
                <c:pt idx="4">
                  <c:v>-1.808245768474348E-2</c:v>
                </c:pt>
                <c:pt idx="5">
                  <c:v>2.6143593107297081E-2</c:v>
                </c:pt>
                <c:pt idx="6">
                  <c:v>4.8975758883020859E-2</c:v>
                </c:pt>
                <c:pt idx="7">
                  <c:v>0.12750306539678213</c:v>
                </c:pt>
                <c:pt idx="8">
                  <c:v>0.10613721165897827</c:v>
                </c:pt>
                <c:pt idx="9">
                  <c:v>-4.0451248938750406E-2</c:v>
                </c:pt>
                <c:pt idx="10">
                  <c:v>6.7142411420136661E-2</c:v>
                </c:pt>
                <c:pt idx="11">
                  <c:v>2.7181145722963596E-2</c:v>
                </c:pt>
                <c:pt idx="12">
                  <c:v>-7.5419670144982742E-3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'HBA HMA'!$A$3:$A$15</c15:f>
                <c15:dlblRangeCache>
                  <c:ptCount val="13"/>
                  <c:pt idx="0">
                    <c:v>Coal</c:v>
                  </c:pt>
                  <c:pt idx="1">
                    <c:v>Nikel</c:v>
                  </c:pt>
                  <c:pt idx="2">
                    <c:v>Kobalt</c:v>
                  </c:pt>
                  <c:pt idx="3">
                    <c:v>Timbal</c:v>
                  </c:pt>
                  <c:pt idx="4">
                    <c:v>Seng</c:v>
                  </c:pt>
                  <c:pt idx="5">
                    <c:v>Aluminium</c:v>
                  </c:pt>
                  <c:pt idx="6">
                    <c:v>Tembaga</c:v>
                  </c:pt>
                  <c:pt idx="7">
                    <c:v>Emas</c:v>
                  </c:pt>
                  <c:pt idx="8">
                    <c:v>Perak</c:v>
                  </c:pt>
                  <c:pt idx="9">
                    <c:v>Mangan</c:v>
                  </c:pt>
                  <c:pt idx="10">
                    <c:v>Besi</c:v>
                  </c:pt>
                  <c:pt idx="11">
                    <c:v>Krom</c:v>
                  </c:pt>
                  <c:pt idx="12">
                    <c:v>Titanium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B9EF-4D24-81A7-C1DE99E2E5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38669936"/>
        <c:axId val="1938668976"/>
      </c:scatterChart>
      <c:valAx>
        <c:axId val="193866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668976"/>
        <c:crosses val="autoZero"/>
        <c:crossBetween val="midCat"/>
      </c:valAx>
      <c:valAx>
        <c:axId val="19386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66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return</a:t>
            </a:r>
            <a:r>
              <a:rPr lang="en-ID" baseline="0"/>
              <a:t> vs risk profile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0BF-4820-AD61-D0F4CFEDF1A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49CBCF8-EAF4-4C05-947E-76C32C5406E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821E610-AB03-4A3A-8E9A-97460A37DE8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0BF-4820-AD61-D0F4CFEDF1A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FEBB7B9-3AF2-471B-A13D-5C3CBDCE408F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EAA0F87C-1B21-4134-85A1-2BE9B4045F19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0BF-4820-AD61-D0F4CFEDF1A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402F73-BC9F-438F-AB99-03611EE450F6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F2DFED4E-133D-4962-87E2-7639BC5D1237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0BF-4820-AD61-D0F4CFEDF1AA}"/>
                </c:ext>
              </c:extLst>
            </c:dLbl>
            <c:dLbl>
              <c:idx val="3"/>
              <c:layout>
                <c:manualLayout>
                  <c:x val="-0.14811111111111114"/>
                  <c:y val="-2.2801837270341207E-3"/>
                </c:manualLayout>
              </c:layout>
              <c:tx>
                <c:rich>
                  <a:bodyPr/>
                  <a:lstStyle/>
                  <a:p>
                    <a:fld id="{F2067A4A-C1FE-4342-81E5-D051EB6B66E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FA87790-FA0D-45B1-A17B-DE3F706E1E5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0BF-4820-AD61-D0F4CFEDF1A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A325A3-C60C-4DEE-8BC2-610D73A0E593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5AB6DFFF-59BE-4107-8A87-EC31F97DBBC6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0BF-4820-AD61-D0F4CFEDF1A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351A74D-95D0-44B3-858C-8CB000B6266A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D3F7113C-CC7D-458A-BB0B-D4130435BA30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0BF-4820-AD61-D0F4CFEDF1A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8E8253D-6A5B-4938-87F4-C15CD46E0C37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769561CC-EFBE-42A0-BD6C-E129604D3A2B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0BF-4820-AD61-D0F4CFEDF1A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6C02DBC-FFE0-4701-B610-0CADEEB79DFD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C8C5B2AD-176B-422F-BD1C-9EF0AE395A38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0BF-4820-AD61-D0F4CFEDF1A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9B37673-6137-4F6C-8EC5-8FB1413BD8D5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353CCAB1-45DA-48BB-A1F2-FE39B0825E83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0BF-4820-AD61-D0F4CFEDF1A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A1E4038-748E-4735-B143-6560BB5098CF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99BC6D4C-7841-4588-948D-2FF80D2C3682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0BF-4820-AD61-D0F4CFEDF1A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B71A3D-CA79-4AC3-A164-521BA7F25D13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CA26CD3D-A474-4201-AF7A-60A39AF5C1EE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0BF-4820-AD61-D0F4CFEDF1A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A1CDFAC-398E-4850-9256-7E20129550FA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3DF8E733-7DE6-42F9-8975-E07391390FC7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0BF-4820-AD61-D0F4CFEDF1A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5404D8B-5AAB-42C0-BCBD-CD94FB7D2A62}" type="CELLRANGE">
                      <a:rPr lang="en-ID"/>
                      <a:pPr/>
                      <a:t>[CELLRANGE]</a:t>
                    </a:fld>
                    <a:r>
                      <a:rPr lang="en-ID" baseline="0"/>
                      <a:t>; </a:t>
                    </a:r>
                    <a:fld id="{D209F06A-89C8-4A27-8466-DAEBC4709849}" type="YVALUE">
                      <a:rPr lang="en-ID" baseline="0"/>
                      <a:pPr/>
                      <a:t>[Y VALUE]</a:t>
                    </a:fld>
                    <a:endParaRPr lang="en-ID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0BF-4820-AD61-D0F4CFEDF1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'Matriks Korelasi'!$BT$5:$BT$17</c:f>
              <c:numCache>
                <c:formatCode>0%</c:formatCode>
                <c:ptCount val="13"/>
                <c:pt idx="0">
                  <c:v>0.38215744806225072</c:v>
                </c:pt>
                <c:pt idx="1">
                  <c:v>0.24721128744779763</c:v>
                </c:pt>
                <c:pt idx="2">
                  <c:v>0.14550811886711321</c:v>
                </c:pt>
                <c:pt idx="3">
                  <c:v>0.10913419815541517</c:v>
                </c:pt>
                <c:pt idx="4">
                  <c:v>0.14453922922126219</c:v>
                </c:pt>
                <c:pt idx="5">
                  <c:v>7.0681535453625086E-2</c:v>
                </c:pt>
                <c:pt idx="6">
                  <c:v>0.50706790168262417</c:v>
                </c:pt>
                <c:pt idx="7">
                  <c:v>0.17395820110509569</c:v>
                </c:pt>
                <c:pt idx="8">
                  <c:v>0.11214321351098852</c:v>
                </c:pt>
                <c:pt idx="9">
                  <c:v>0.25107113920063623</c:v>
                </c:pt>
                <c:pt idx="10">
                  <c:v>0.30489541035133189</c:v>
                </c:pt>
                <c:pt idx="11">
                  <c:v>0.17585979452502087</c:v>
                </c:pt>
                <c:pt idx="12">
                  <c:v>0.23806808341663549</c:v>
                </c:pt>
              </c:numCache>
            </c:numRef>
          </c:xVal>
          <c:yVal>
            <c:numRef>
              <c:f>'Matriks Korelasi'!$BV$5:$BV$17</c:f>
              <c:numCache>
                <c:formatCode>0%</c:formatCode>
                <c:ptCount val="13"/>
                <c:pt idx="0">
                  <c:v>2.8715730748975821E-2</c:v>
                </c:pt>
                <c:pt idx="1">
                  <c:v>2.9349232123298208E-2</c:v>
                </c:pt>
                <c:pt idx="2">
                  <c:v>5.7371268453118685E-2</c:v>
                </c:pt>
                <c:pt idx="3">
                  <c:v>9.5978328196901996E-2</c:v>
                </c:pt>
                <c:pt idx="4">
                  <c:v>0.10155028820047329</c:v>
                </c:pt>
                <c:pt idx="5">
                  <c:v>2.1152127651627772E-2</c:v>
                </c:pt>
                <c:pt idx="6">
                  <c:v>0.15219114469774619</c:v>
                </c:pt>
                <c:pt idx="7">
                  <c:v>1.8493015881265285E-2</c:v>
                </c:pt>
                <c:pt idx="8">
                  <c:v>-8.5344442904696671E-2</c:v>
                </c:pt>
                <c:pt idx="9">
                  <c:v>-1.2051713658030372E-2</c:v>
                </c:pt>
                <c:pt idx="10">
                  <c:v>0.19906095641936461</c:v>
                </c:pt>
                <c:pt idx="11">
                  <c:v>0.15660582308009308</c:v>
                </c:pt>
                <c:pt idx="12">
                  <c:v>0.13401960471751706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'Matriks Korelasi'!$A$5:$A$17</c15:f>
                <c15:dlblRangeCache>
                  <c:ptCount val="13"/>
                  <c:pt idx="0">
                    <c:v>Kobalt</c:v>
                  </c:pt>
                  <c:pt idx="1">
                    <c:v>Nikel</c:v>
                  </c:pt>
                  <c:pt idx="2">
                    <c:v>Seng</c:v>
                  </c:pt>
                  <c:pt idx="3">
                    <c:v>Tembaga</c:v>
                  </c:pt>
                  <c:pt idx="4">
                    <c:v>Aluminium</c:v>
                  </c:pt>
                  <c:pt idx="5">
                    <c:v>Timbal</c:v>
                  </c:pt>
                  <c:pt idx="6">
                    <c:v>Batubara</c:v>
                  </c:pt>
                  <c:pt idx="7">
                    <c:v>Titanium</c:v>
                  </c:pt>
                  <c:pt idx="8">
                    <c:v>Mangan</c:v>
                  </c:pt>
                  <c:pt idx="9">
                    <c:v>Besi</c:v>
                  </c:pt>
                  <c:pt idx="10">
                    <c:v>Krom</c:v>
                  </c:pt>
                  <c:pt idx="11">
                    <c:v>Perak</c:v>
                  </c:pt>
                  <c:pt idx="12">
                    <c:v>Emas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10BF-4820-AD61-D0F4CFEDF1A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62966272"/>
        <c:axId val="762959072"/>
      </c:scatterChart>
      <c:valAx>
        <c:axId val="7629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59072"/>
        <c:crosses val="autoZero"/>
        <c:crossBetween val="midCat"/>
      </c:valAx>
      <c:valAx>
        <c:axId val="7629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6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'HBA HMA'!$B$3</c:f>
              <c:strCache>
                <c:ptCount val="1"/>
                <c:pt idx="0">
                  <c:v>Batubara (USD/ton)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HMA'!$C$3:$CX$3</c:f>
              <c:numCache>
                <c:formatCode>General</c:formatCode>
                <c:ptCount val="100"/>
                <c:pt idx="0">
                  <c:v>94.8</c:v>
                </c:pt>
                <c:pt idx="1">
                  <c:v>94.04</c:v>
                </c:pt>
                <c:pt idx="2">
                  <c:v>95.54</c:v>
                </c:pt>
                <c:pt idx="3">
                  <c:v>100.69</c:v>
                </c:pt>
                <c:pt idx="4">
                  <c:v>101.86</c:v>
                </c:pt>
                <c:pt idx="5">
                  <c:v>94.75</c:v>
                </c:pt>
                <c:pt idx="6">
                  <c:v>89.53</c:v>
                </c:pt>
                <c:pt idx="7">
                  <c:v>96.61</c:v>
                </c:pt>
                <c:pt idx="8">
                  <c:v>104.65</c:v>
                </c:pt>
                <c:pt idx="9">
                  <c:v>107.83</c:v>
                </c:pt>
                <c:pt idx="10">
                  <c:v>104.81</c:v>
                </c:pt>
                <c:pt idx="11">
                  <c:v>100.89</c:v>
                </c:pt>
                <c:pt idx="12">
                  <c:v>97.9</c:v>
                </c:pt>
                <c:pt idx="13">
                  <c:v>92.51</c:v>
                </c:pt>
                <c:pt idx="14">
                  <c:v>92.41</c:v>
                </c:pt>
                <c:pt idx="15">
                  <c:v>91.8</c:v>
                </c:pt>
                <c:pt idx="16">
                  <c:v>90.57</c:v>
                </c:pt>
                <c:pt idx="17">
                  <c:v>88.85</c:v>
                </c:pt>
                <c:pt idx="18">
                  <c:v>81.86</c:v>
                </c:pt>
                <c:pt idx="19">
                  <c:v>81.48</c:v>
                </c:pt>
                <c:pt idx="20">
                  <c:v>71.92</c:v>
                </c:pt>
                <c:pt idx="21">
                  <c:v>72.67</c:v>
                </c:pt>
                <c:pt idx="22">
                  <c:v>65.790000000000006</c:v>
                </c:pt>
                <c:pt idx="23">
                  <c:v>64.8</c:v>
                </c:pt>
                <c:pt idx="24">
                  <c:v>66.27</c:v>
                </c:pt>
                <c:pt idx="25">
                  <c:v>66.3</c:v>
                </c:pt>
                <c:pt idx="26">
                  <c:v>65.930000000000007</c:v>
                </c:pt>
                <c:pt idx="27">
                  <c:v>66.89</c:v>
                </c:pt>
                <c:pt idx="28">
                  <c:v>67.08</c:v>
                </c:pt>
                <c:pt idx="29">
                  <c:v>65.77</c:v>
                </c:pt>
                <c:pt idx="30">
                  <c:v>61.11</c:v>
                </c:pt>
                <c:pt idx="31">
                  <c:v>52.98</c:v>
                </c:pt>
                <c:pt idx="32">
                  <c:v>52.16</c:v>
                </c:pt>
                <c:pt idx="33">
                  <c:v>50.34</c:v>
                </c:pt>
                <c:pt idx="34">
                  <c:v>49.42</c:v>
                </c:pt>
                <c:pt idx="35">
                  <c:v>51</c:v>
                </c:pt>
                <c:pt idx="36">
                  <c:v>55.71</c:v>
                </c:pt>
                <c:pt idx="37">
                  <c:v>59.65</c:v>
                </c:pt>
                <c:pt idx="38">
                  <c:v>75.84</c:v>
                </c:pt>
                <c:pt idx="39">
                  <c:v>87.79</c:v>
                </c:pt>
                <c:pt idx="40">
                  <c:v>84.47</c:v>
                </c:pt>
                <c:pt idx="41">
                  <c:v>86.68</c:v>
                </c:pt>
                <c:pt idx="42">
                  <c:v>89.74</c:v>
                </c:pt>
                <c:pt idx="43">
                  <c:v>100.33</c:v>
                </c:pt>
                <c:pt idx="44">
                  <c:v>115.35</c:v>
                </c:pt>
                <c:pt idx="45">
                  <c:v>130.99</c:v>
                </c:pt>
                <c:pt idx="46">
                  <c:v>150.03</c:v>
                </c:pt>
                <c:pt idx="47">
                  <c:v>161.63</c:v>
                </c:pt>
                <c:pt idx="48">
                  <c:v>215.01</c:v>
                </c:pt>
                <c:pt idx="49">
                  <c:v>159.79</c:v>
                </c:pt>
                <c:pt idx="50">
                  <c:v>158.5</c:v>
                </c:pt>
                <c:pt idx="51">
                  <c:v>188.38</c:v>
                </c:pt>
                <c:pt idx="52">
                  <c:v>203.69</c:v>
                </c:pt>
                <c:pt idx="53">
                  <c:v>288.39999999999998</c:v>
                </c:pt>
                <c:pt idx="54">
                  <c:v>275.64</c:v>
                </c:pt>
                <c:pt idx="55">
                  <c:v>323.91000000000003</c:v>
                </c:pt>
                <c:pt idx="56">
                  <c:v>319</c:v>
                </c:pt>
                <c:pt idx="57">
                  <c:v>321.58999999999997</c:v>
                </c:pt>
                <c:pt idx="58">
                  <c:v>319.22000000000003</c:v>
                </c:pt>
                <c:pt idx="59">
                  <c:v>330.97</c:v>
                </c:pt>
                <c:pt idx="60">
                  <c:v>308.2</c:v>
                </c:pt>
                <c:pt idx="61">
                  <c:v>281.48</c:v>
                </c:pt>
                <c:pt idx="62">
                  <c:v>305.20999999999998</c:v>
                </c:pt>
                <c:pt idx="63">
                  <c:v>277.05</c:v>
                </c:pt>
                <c:pt idx="64">
                  <c:v>283.08</c:v>
                </c:pt>
                <c:pt idx="65">
                  <c:v>265.26</c:v>
                </c:pt>
                <c:pt idx="66">
                  <c:v>206.16</c:v>
                </c:pt>
                <c:pt idx="67">
                  <c:v>191.26</c:v>
                </c:pt>
                <c:pt idx="68">
                  <c:v>191.6</c:v>
                </c:pt>
                <c:pt idx="69">
                  <c:v>179.9</c:v>
                </c:pt>
                <c:pt idx="70">
                  <c:v>133.13</c:v>
                </c:pt>
                <c:pt idx="71">
                  <c:v>123.96</c:v>
                </c:pt>
                <c:pt idx="72">
                  <c:v>139.80000000000001</c:v>
                </c:pt>
                <c:pt idx="73">
                  <c:v>117.38</c:v>
                </c:pt>
                <c:pt idx="74">
                  <c:v>125.85</c:v>
                </c:pt>
                <c:pt idx="75">
                  <c:v>124.95</c:v>
                </c:pt>
                <c:pt idx="76">
                  <c:v>109.77</c:v>
                </c:pt>
                <c:pt idx="77">
                  <c:v>121.13</c:v>
                </c:pt>
                <c:pt idx="78">
                  <c:v>114.06</c:v>
                </c:pt>
                <c:pt idx="79">
                  <c:v>123</c:v>
                </c:pt>
                <c:pt idx="80">
                  <c:v>130.44</c:v>
                </c:pt>
                <c:pt idx="81">
                  <c:v>115.29</c:v>
                </c:pt>
                <c:pt idx="82">
                  <c:v>125.15</c:v>
                </c:pt>
                <c:pt idx="83">
                  <c:v>131.16999999999999</c:v>
                </c:pt>
                <c:pt idx="84">
                  <c:v>114.43</c:v>
                </c:pt>
                <c:pt idx="85">
                  <c:v>122.51</c:v>
                </c:pt>
                <c:pt idx="86">
                  <c:v>124.01</c:v>
                </c:pt>
                <c:pt idx="87">
                  <c:v>124.24</c:v>
                </c:pt>
                <c:pt idx="88">
                  <c:v>128.24</c:v>
                </c:pt>
                <c:pt idx="89">
                  <c:v>117.76</c:v>
                </c:pt>
                <c:pt idx="90">
                  <c:v>123.32</c:v>
                </c:pt>
                <c:pt idx="91">
                  <c:v>120.2</c:v>
                </c:pt>
                <c:pt idx="92">
                  <c:v>121.15</c:v>
                </c:pt>
                <c:pt idx="93">
                  <c:v>110.38</c:v>
                </c:pt>
                <c:pt idx="94">
                  <c:v>100.97</c:v>
                </c:pt>
                <c:pt idx="95">
                  <c:v>98.61</c:v>
                </c:pt>
                <c:pt idx="96">
                  <c:v>107.35</c:v>
                </c:pt>
                <c:pt idx="97">
                  <c:v>97.65</c:v>
                </c:pt>
                <c:pt idx="98">
                  <c:v>102.22</c:v>
                </c:pt>
                <c:pt idx="99">
                  <c:v>100.69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AA-4E68-8B53-2081B28D4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75632"/>
        <c:axId val="609478512"/>
      </c:lineChart>
      <c:catAx>
        <c:axId val="60947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78512"/>
        <c:crosses val="autoZero"/>
        <c:auto val="1"/>
        <c:lblAlgn val="ctr"/>
        <c:lblOffset val="100"/>
        <c:noMultiLvlLbl val="0"/>
      </c:catAx>
      <c:valAx>
        <c:axId val="60947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75632"/>
        <c:crosses val="autoZero"/>
        <c:crossBetween val="between"/>
      </c:valAx>
      <c:spPr>
        <a:noFill/>
        <a:ln>
          <a:solidFill>
            <a:srgbClr val="FFFF00">
              <a:alpha val="93000"/>
            </a:srgb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Nikel (USD/dmt)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'HBA HMA'!$A$4</c:f>
              <c:strCache>
                <c:ptCount val="1"/>
                <c:pt idx="0">
                  <c:v>Nikel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'HBA HMA'!$B$2:$CX$2</c15:sqref>
                  </c15:fullRef>
                </c:ext>
              </c:extLst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'HBA HMA'!$B$4:$CX$4</c15:sqref>
                  </c15:fullRef>
                </c:ext>
              </c:extLst>
              <c:f>'HBA HMA'!$C$4:$CX$4</c:f>
              <c:numCache>
                <c:formatCode>General</c:formatCode>
                <c:ptCount val="100"/>
                <c:pt idx="0">
                  <c:v>10905.91</c:v>
                </c:pt>
                <c:pt idx="1">
                  <c:v>12091.67</c:v>
                </c:pt>
                <c:pt idx="2">
                  <c:v>11304.55</c:v>
                </c:pt>
                <c:pt idx="3">
                  <c:v>12452.75</c:v>
                </c:pt>
                <c:pt idx="4">
                  <c:v>13444.52</c:v>
                </c:pt>
                <c:pt idx="5">
                  <c:v>13619.25</c:v>
                </c:pt>
                <c:pt idx="6">
                  <c:v>13584.76</c:v>
                </c:pt>
                <c:pt idx="7">
                  <c:v>14102.75</c:v>
                </c:pt>
                <c:pt idx="8">
                  <c:v>15067.86</c:v>
                </c:pt>
                <c:pt idx="9">
                  <c:v>14246.82</c:v>
                </c:pt>
                <c:pt idx="10">
                  <c:v>13509.05</c:v>
                </c:pt>
                <c:pt idx="11">
                  <c:v>12803.41</c:v>
                </c:pt>
                <c:pt idx="12">
                  <c:v>12578.64</c:v>
                </c:pt>
                <c:pt idx="13">
                  <c:v>11695</c:v>
                </c:pt>
                <c:pt idx="14">
                  <c:v>10890.68</c:v>
                </c:pt>
                <c:pt idx="15">
                  <c:v>11046.05</c:v>
                </c:pt>
                <c:pt idx="16">
                  <c:v>12249.32</c:v>
                </c:pt>
                <c:pt idx="17">
                  <c:v>13029.5</c:v>
                </c:pt>
                <c:pt idx="18">
                  <c:v>13000.91</c:v>
                </c:pt>
                <c:pt idx="19">
                  <c:v>12100</c:v>
                </c:pt>
                <c:pt idx="20">
                  <c:v>11874.77</c:v>
                </c:pt>
                <c:pt idx="21">
                  <c:v>12832.73</c:v>
                </c:pt>
                <c:pt idx="22">
                  <c:v>14940</c:v>
                </c:pt>
                <c:pt idx="23">
                  <c:v>17176.82</c:v>
                </c:pt>
                <c:pt idx="24">
                  <c:v>17456.43</c:v>
                </c:pt>
                <c:pt idx="25">
                  <c:v>16107.27</c:v>
                </c:pt>
                <c:pt idx="26">
                  <c:v>13875.68</c:v>
                </c:pt>
                <c:pt idx="27">
                  <c:v>14029.72</c:v>
                </c:pt>
                <c:pt idx="28">
                  <c:v>12994.57</c:v>
                </c:pt>
                <c:pt idx="29">
                  <c:v>12301.19</c:v>
                </c:pt>
                <c:pt idx="30">
                  <c:v>11347.68</c:v>
                </c:pt>
                <c:pt idx="31">
                  <c:v>12085.1</c:v>
                </c:pt>
                <c:pt idx="32">
                  <c:v>12595.68</c:v>
                </c:pt>
                <c:pt idx="33">
                  <c:v>13004.6</c:v>
                </c:pt>
                <c:pt idx="34">
                  <c:v>13921.87</c:v>
                </c:pt>
                <c:pt idx="35">
                  <c:v>15059.57</c:v>
                </c:pt>
                <c:pt idx="36">
                  <c:v>14732.1</c:v>
                </c:pt>
                <c:pt idx="37">
                  <c:v>15646.7</c:v>
                </c:pt>
                <c:pt idx="38">
                  <c:v>16541.57</c:v>
                </c:pt>
                <c:pt idx="39">
                  <c:v>17434.05</c:v>
                </c:pt>
                <c:pt idx="40">
                  <c:v>18210.39</c:v>
                </c:pt>
                <c:pt idx="41">
                  <c:v>17251.599999999999</c:v>
                </c:pt>
                <c:pt idx="42">
                  <c:v>16301.95</c:v>
                </c:pt>
                <c:pt idx="43">
                  <c:v>17322.48</c:v>
                </c:pt>
                <c:pt idx="44">
                  <c:v>17650.95</c:v>
                </c:pt>
                <c:pt idx="45">
                  <c:v>18356.86</c:v>
                </c:pt>
                <c:pt idx="46">
                  <c:v>19239.259999999998</c:v>
                </c:pt>
                <c:pt idx="47">
                  <c:v>19499.7</c:v>
                </c:pt>
                <c:pt idx="48">
                  <c:v>18951.82</c:v>
                </c:pt>
                <c:pt idx="49">
                  <c:v>19829.349999999999</c:v>
                </c:pt>
                <c:pt idx="50">
                  <c:v>20189.75</c:v>
                </c:pt>
                <c:pt idx="51">
                  <c:v>21113.75</c:v>
                </c:pt>
                <c:pt idx="52">
                  <c:v>23537.05</c:v>
                </c:pt>
                <c:pt idx="53">
                  <c:v>35995.300000000003</c:v>
                </c:pt>
                <c:pt idx="54">
                  <c:v>33415.75</c:v>
                </c:pt>
                <c:pt idx="55">
                  <c:v>30048.81</c:v>
                </c:pt>
                <c:pt idx="56">
                  <c:v>27414.47</c:v>
                </c:pt>
                <c:pt idx="57">
                  <c:v>22504.77</c:v>
                </c:pt>
                <c:pt idx="58">
                  <c:v>22059.13</c:v>
                </c:pt>
                <c:pt idx="59">
                  <c:v>22081.25</c:v>
                </c:pt>
                <c:pt idx="60">
                  <c:v>22374.77</c:v>
                </c:pt>
                <c:pt idx="61">
                  <c:v>23907.73</c:v>
                </c:pt>
                <c:pt idx="62">
                  <c:v>27482.62</c:v>
                </c:pt>
                <c:pt idx="63">
                  <c:v>28444.5</c:v>
                </c:pt>
                <c:pt idx="64">
                  <c:v>27860</c:v>
                </c:pt>
                <c:pt idx="65">
                  <c:v>24227</c:v>
                </c:pt>
                <c:pt idx="66">
                  <c:v>23278.57</c:v>
                </c:pt>
                <c:pt idx="67">
                  <c:v>23317</c:v>
                </c:pt>
                <c:pt idx="68">
                  <c:v>21376.75</c:v>
                </c:pt>
                <c:pt idx="69">
                  <c:v>20663.86</c:v>
                </c:pt>
                <c:pt idx="70">
                  <c:v>20827.73</c:v>
                </c:pt>
                <c:pt idx="71">
                  <c:v>20190</c:v>
                </c:pt>
                <c:pt idx="72">
                  <c:v>18563.64</c:v>
                </c:pt>
                <c:pt idx="73">
                  <c:v>17653.330000000002</c:v>
                </c:pt>
                <c:pt idx="74">
                  <c:v>16368.86</c:v>
                </c:pt>
                <c:pt idx="75">
                  <c:v>16151</c:v>
                </c:pt>
                <c:pt idx="76">
                  <c:v>16021.67</c:v>
                </c:pt>
                <c:pt idx="77">
                  <c:v>17424.52</c:v>
                </c:pt>
                <c:pt idx="78">
                  <c:v>17472.38</c:v>
                </c:pt>
                <c:pt idx="79">
                  <c:v>18962.11</c:v>
                </c:pt>
                <c:pt idx="80">
                  <c:v>18823.86</c:v>
                </c:pt>
                <c:pt idx="81">
                  <c:v>16812.73</c:v>
                </c:pt>
                <c:pt idx="82">
                  <c:v>15908.1</c:v>
                </c:pt>
                <c:pt idx="83">
                  <c:v>16175.23</c:v>
                </c:pt>
                <c:pt idx="84">
                  <c:v>17072.14</c:v>
                </c:pt>
                <c:pt idx="85">
                  <c:v>15822.95</c:v>
                </c:pt>
                <c:pt idx="86">
                  <c:v>15660</c:v>
                </c:pt>
                <c:pt idx="87">
                  <c:v>15276.11</c:v>
                </c:pt>
                <c:pt idx="88">
                  <c:v>15276.33</c:v>
                </c:pt>
                <c:pt idx="89">
                  <c:v>15534.62</c:v>
                </c:pt>
                <c:pt idx="90">
                  <c:v>16126.33</c:v>
                </c:pt>
                <c:pt idx="91">
                  <c:v>15539.69</c:v>
                </c:pt>
                <c:pt idx="92">
                  <c:v>15049.23</c:v>
                </c:pt>
                <c:pt idx="93">
                  <c:v>15415</c:v>
                </c:pt>
                <c:pt idx="94">
                  <c:v>15405</c:v>
                </c:pt>
                <c:pt idx="95">
                  <c:v>15221</c:v>
                </c:pt>
                <c:pt idx="96">
                  <c:v>14942.67</c:v>
                </c:pt>
                <c:pt idx="97">
                  <c:v>14926</c:v>
                </c:pt>
                <c:pt idx="98">
                  <c:v>15028.33</c:v>
                </c:pt>
                <c:pt idx="99">
                  <c:v>15012.67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2-4B4B-B939-8D6AC13B4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184704"/>
        <c:axId val="1039177984"/>
      </c:lineChart>
      <c:catAx>
        <c:axId val="10391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77984"/>
        <c:crosses val="autoZero"/>
        <c:auto val="1"/>
        <c:lblAlgn val="ctr"/>
        <c:lblOffset val="100"/>
        <c:noMultiLvlLbl val="0"/>
      </c:catAx>
      <c:valAx>
        <c:axId val="10391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Kobalt (USD/dmt)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'HBA HMA'!$A$5</c:f>
              <c:strCache>
                <c:ptCount val="1"/>
                <c:pt idx="0">
                  <c:v>Kobalt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'HBA HMA'!$B$2:$CX$2</c15:sqref>
                  </c15:fullRef>
                </c:ext>
              </c:extLst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'HBA HMA'!$B$5:$CX$5</c15:sqref>
                  </c15:fullRef>
                </c:ext>
              </c:extLst>
              <c:f>'HBA HMA'!$C$5:$CX$5</c:f>
              <c:numCache>
                <c:formatCode>General</c:formatCode>
                <c:ptCount val="100"/>
                <c:pt idx="0">
                  <c:v>59090.91</c:v>
                </c:pt>
                <c:pt idx="1">
                  <c:v>60833.33</c:v>
                </c:pt>
                <c:pt idx="2">
                  <c:v>68304.55</c:v>
                </c:pt>
                <c:pt idx="3">
                  <c:v>76075</c:v>
                </c:pt>
                <c:pt idx="4">
                  <c:v>80797.62</c:v>
                </c:pt>
                <c:pt idx="5">
                  <c:v>83162.5</c:v>
                </c:pt>
                <c:pt idx="6">
                  <c:v>92357.14</c:v>
                </c:pt>
                <c:pt idx="7">
                  <c:v>90062.5</c:v>
                </c:pt>
                <c:pt idx="8">
                  <c:v>86321.43</c:v>
                </c:pt>
                <c:pt idx="9">
                  <c:v>74277.27</c:v>
                </c:pt>
                <c:pt idx="10">
                  <c:v>65385.71</c:v>
                </c:pt>
                <c:pt idx="11">
                  <c:v>63659.09</c:v>
                </c:pt>
                <c:pt idx="12">
                  <c:v>59670.91</c:v>
                </c:pt>
                <c:pt idx="13">
                  <c:v>54916.67</c:v>
                </c:pt>
                <c:pt idx="14">
                  <c:v>55261.36</c:v>
                </c:pt>
                <c:pt idx="15">
                  <c:v>45973.68</c:v>
                </c:pt>
                <c:pt idx="16">
                  <c:v>33818.18</c:v>
                </c:pt>
                <c:pt idx="17">
                  <c:v>32250</c:v>
                </c:pt>
                <c:pt idx="18">
                  <c:v>32320.45</c:v>
                </c:pt>
                <c:pt idx="19">
                  <c:v>34750</c:v>
                </c:pt>
                <c:pt idx="20">
                  <c:v>31386.36</c:v>
                </c:pt>
                <c:pt idx="21">
                  <c:v>28527.27</c:v>
                </c:pt>
                <c:pt idx="22">
                  <c:v>28385.71</c:v>
                </c:pt>
                <c:pt idx="23">
                  <c:v>34363.64</c:v>
                </c:pt>
                <c:pt idx="24">
                  <c:v>36035.71</c:v>
                </c:pt>
                <c:pt idx="25">
                  <c:v>35500</c:v>
                </c:pt>
                <c:pt idx="26">
                  <c:v>34772.730000000003</c:v>
                </c:pt>
                <c:pt idx="27">
                  <c:v>32361.11</c:v>
                </c:pt>
                <c:pt idx="28">
                  <c:v>33326.089999999997</c:v>
                </c:pt>
                <c:pt idx="29">
                  <c:v>31928.57</c:v>
                </c:pt>
                <c:pt idx="30">
                  <c:v>29500</c:v>
                </c:pt>
                <c:pt idx="31">
                  <c:v>29500</c:v>
                </c:pt>
                <c:pt idx="32">
                  <c:v>29372.73</c:v>
                </c:pt>
                <c:pt idx="33">
                  <c:v>28552.5</c:v>
                </c:pt>
                <c:pt idx="34">
                  <c:v>31008.04</c:v>
                </c:pt>
                <c:pt idx="35">
                  <c:v>33150.239999999998</c:v>
                </c:pt>
                <c:pt idx="36">
                  <c:v>33636.67</c:v>
                </c:pt>
                <c:pt idx="37">
                  <c:v>32583.26</c:v>
                </c:pt>
                <c:pt idx="38">
                  <c:v>31886.19</c:v>
                </c:pt>
                <c:pt idx="39">
                  <c:v>34765.53</c:v>
                </c:pt>
                <c:pt idx="40">
                  <c:v>43658.91</c:v>
                </c:pt>
                <c:pt idx="41">
                  <c:v>52486.75</c:v>
                </c:pt>
                <c:pt idx="42">
                  <c:v>50770.53</c:v>
                </c:pt>
                <c:pt idx="43">
                  <c:v>46020.71</c:v>
                </c:pt>
                <c:pt idx="44">
                  <c:v>43199.519999999997</c:v>
                </c:pt>
                <c:pt idx="45">
                  <c:v>49102.14</c:v>
                </c:pt>
                <c:pt idx="46">
                  <c:v>52317.83</c:v>
                </c:pt>
                <c:pt idx="47">
                  <c:v>50793.25</c:v>
                </c:pt>
                <c:pt idx="48">
                  <c:v>53622.73</c:v>
                </c:pt>
                <c:pt idx="49">
                  <c:v>57995.22</c:v>
                </c:pt>
                <c:pt idx="50">
                  <c:v>66505.5</c:v>
                </c:pt>
                <c:pt idx="51">
                  <c:v>70178.5</c:v>
                </c:pt>
                <c:pt idx="52">
                  <c:v>70856.820000000007</c:v>
                </c:pt>
                <c:pt idx="53">
                  <c:v>77743.75</c:v>
                </c:pt>
                <c:pt idx="54">
                  <c:v>81947</c:v>
                </c:pt>
                <c:pt idx="55">
                  <c:v>80382.86</c:v>
                </c:pt>
                <c:pt idx="56">
                  <c:v>73362.89</c:v>
                </c:pt>
                <c:pt idx="57">
                  <c:v>64670.45</c:v>
                </c:pt>
                <c:pt idx="58">
                  <c:v>49133.91</c:v>
                </c:pt>
                <c:pt idx="59">
                  <c:v>51264</c:v>
                </c:pt>
                <c:pt idx="60">
                  <c:v>51510.68</c:v>
                </c:pt>
                <c:pt idx="61">
                  <c:v>51510.45</c:v>
                </c:pt>
                <c:pt idx="62">
                  <c:v>51494.76</c:v>
                </c:pt>
                <c:pt idx="63">
                  <c:v>49931.5</c:v>
                </c:pt>
                <c:pt idx="64">
                  <c:v>42613.81</c:v>
                </c:pt>
                <c:pt idx="65">
                  <c:v>33981.75</c:v>
                </c:pt>
                <c:pt idx="66">
                  <c:v>34228.239999999998</c:v>
                </c:pt>
                <c:pt idx="67">
                  <c:v>34493</c:v>
                </c:pt>
                <c:pt idx="68">
                  <c:v>29965</c:v>
                </c:pt>
                <c:pt idx="69">
                  <c:v>31475</c:v>
                </c:pt>
                <c:pt idx="70">
                  <c:v>32980.449999999997</c:v>
                </c:pt>
                <c:pt idx="71">
                  <c:v>32980.71</c:v>
                </c:pt>
                <c:pt idx="72">
                  <c:v>32980.910000000003</c:v>
                </c:pt>
                <c:pt idx="73">
                  <c:v>32997.379999999997</c:v>
                </c:pt>
                <c:pt idx="74">
                  <c:v>31920</c:v>
                </c:pt>
                <c:pt idx="75">
                  <c:v>28696.25</c:v>
                </c:pt>
                <c:pt idx="76">
                  <c:v>28493.81</c:v>
                </c:pt>
                <c:pt idx="77">
                  <c:v>28220</c:v>
                </c:pt>
                <c:pt idx="78">
                  <c:v>28215.95</c:v>
                </c:pt>
                <c:pt idx="79">
                  <c:v>27718.68</c:v>
                </c:pt>
                <c:pt idx="80">
                  <c:v>26980.91</c:v>
                </c:pt>
                <c:pt idx="81">
                  <c:v>26628.41</c:v>
                </c:pt>
                <c:pt idx="82">
                  <c:v>26031.9</c:v>
                </c:pt>
                <c:pt idx="83">
                  <c:v>24105</c:v>
                </c:pt>
                <c:pt idx="84">
                  <c:v>24184.52</c:v>
                </c:pt>
                <c:pt idx="85">
                  <c:v>24275.45</c:v>
                </c:pt>
                <c:pt idx="86">
                  <c:v>24300</c:v>
                </c:pt>
                <c:pt idx="87">
                  <c:v>24300</c:v>
                </c:pt>
                <c:pt idx="88">
                  <c:v>21426</c:v>
                </c:pt>
                <c:pt idx="89">
                  <c:v>22890</c:v>
                </c:pt>
                <c:pt idx="90">
                  <c:v>31390</c:v>
                </c:pt>
                <c:pt idx="91">
                  <c:v>33710.629999999997</c:v>
                </c:pt>
                <c:pt idx="92">
                  <c:v>33274.620000000003</c:v>
                </c:pt>
                <c:pt idx="93">
                  <c:v>33260.769999999997</c:v>
                </c:pt>
                <c:pt idx="94">
                  <c:v>33256.79</c:v>
                </c:pt>
                <c:pt idx="95">
                  <c:v>33235.33</c:v>
                </c:pt>
                <c:pt idx="96">
                  <c:v>32944</c:v>
                </c:pt>
                <c:pt idx="97">
                  <c:v>32896</c:v>
                </c:pt>
                <c:pt idx="98">
                  <c:v>32894.33</c:v>
                </c:pt>
                <c:pt idx="99">
                  <c:v>32893.33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6-4172-8046-8E95F4C4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151728"/>
        <c:axId val="372150288"/>
      </c:lineChart>
      <c:catAx>
        <c:axId val="37215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150288"/>
        <c:crosses val="autoZero"/>
        <c:auto val="1"/>
        <c:lblAlgn val="ctr"/>
        <c:lblOffset val="100"/>
        <c:noMultiLvlLbl val="0"/>
      </c:catAx>
      <c:valAx>
        <c:axId val="3721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15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'HBA HMA'!$B$6</c:f>
              <c:strCache>
                <c:ptCount val="1"/>
                <c:pt idx="0">
                  <c:v>Timbal (USD/dmt)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HMA'!$C$6:$CX$6</c:f>
              <c:numCache>
                <c:formatCode>General</c:formatCode>
                <c:ptCount val="100"/>
                <c:pt idx="0">
                  <c:v>2511.66</c:v>
                </c:pt>
                <c:pt idx="1">
                  <c:v>2469.98</c:v>
                </c:pt>
                <c:pt idx="2">
                  <c:v>2489.52</c:v>
                </c:pt>
                <c:pt idx="3">
                  <c:v>2552.0300000000002</c:v>
                </c:pt>
                <c:pt idx="4">
                  <c:v>2602.88</c:v>
                </c:pt>
                <c:pt idx="5">
                  <c:v>2452.0500000000002</c:v>
                </c:pt>
                <c:pt idx="6">
                  <c:v>2372.19</c:v>
                </c:pt>
                <c:pt idx="7">
                  <c:v>2325.25</c:v>
                </c:pt>
                <c:pt idx="8">
                  <c:v>2452.33</c:v>
                </c:pt>
                <c:pt idx="9">
                  <c:v>2312.52</c:v>
                </c:pt>
                <c:pt idx="10">
                  <c:v>2102.4299999999998</c:v>
                </c:pt>
                <c:pt idx="11">
                  <c:v>2040.55</c:v>
                </c:pt>
                <c:pt idx="12">
                  <c:v>1998.07</c:v>
                </c:pt>
                <c:pt idx="13">
                  <c:v>1950.19</c:v>
                </c:pt>
                <c:pt idx="14">
                  <c:v>1948.14</c:v>
                </c:pt>
                <c:pt idx="15">
                  <c:v>1965.18</c:v>
                </c:pt>
                <c:pt idx="16">
                  <c:v>2053.8000000000002</c:v>
                </c:pt>
                <c:pt idx="17">
                  <c:v>2080.6799999999998</c:v>
                </c:pt>
                <c:pt idx="18">
                  <c:v>1977.25</c:v>
                </c:pt>
                <c:pt idx="19">
                  <c:v>1863.53</c:v>
                </c:pt>
                <c:pt idx="20">
                  <c:v>1847.68</c:v>
                </c:pt>
                <c:pt idx="21">
                  <c:v>1929.11</c:v>
                </c:pt>
                <c:pt idx="22">
                  <c:v>2031.07</c:v>
                </c:pt>
                <c:pt idx="23">
                  <c:v>2066.9299999999998</c:v>
                </c:pt>
                <c:pt idx="24">
                  <c:v>2126.2399999999998</c:v>
                </c:pt>
                <c:pt idx="25">
                  <c:v>2145.1999999999998</c:v>
                </c:pt>
                <c:pt idx="26">
                  <c:v>1913.64</c:v>
                </c:pt>
                <c:pt idx="27">
                  <c:v>1920.47</c:v>
                </c:pt>
                <c:pt idx="28">
                  <c:v>1891.33</c:v>
                </c:pt>
                <c:pt idx="29">
                  <c:v>1826.38</c:v>
                </c:pt>
                <c:pt idx="30">
                  <c:v>1666.37</c:v>
                </c:pt>
                <c:pt idx="31">
                  <c:v>1614.79</c:v>
                </c:pt>
                <c:pt idx="32">
                  <c:v>1697.68</c:v>
                </c:pt>
                <c:pt idx="33">
                  <c:v>1793.25</c:v>
                </c:pt>
                <c:pt idx="34">
                  <c:v>1874.8</c:v>
                </c:pt>
                <c:pt idx="35">
                  <c:v>1927.1</c:v>
                </c:pt>
                <c:pt idx="36">
                  <c:v>1799.07</c:v>
                </c:pt>
                <c:pt idx="37">
                  <c:v>1826</c:v>
                </c:pt>
                <c:pt idx="38">
                  <c:v>2044.26</c:v>
                </c:pt>
                <c:pt idx="39">
                  <c:v>1988.58</c:v>
                </c:pt>
                <c:pt idx="40">
                  <c:v>2054.63</c:v>
                </c:pt>
                <c:pt idx="41">
                  <c:v>2011.18</c:v>
                </c:pt>
                <c:pt idx="42">
                  <c:v>1958.34</c:v>
                </c:pt>
                <c:pt idx="43">
                  <c:v>2128.5500000000002</c:v>
                </c:pt>
                <c:pt idx="44">
                  <c:v>2173.67</c:v>
                </c:pt>
                <c:pt idx="45">
                  <c:v>2273.14</c:v>
                </c:pt>
                <c:pt idx="46">
                  <c:v>2402.67</c:v>
                </c:pt>
                <c:pt idx="47">
                  <c:v>2369.8000000000002</c:v>
                </c:pt>
                <c:pt idx="48">
                  <c:v>2232.09</c:v>
                </c:pt>
                <c:pt idx="49">
                  <c:v>2390</c:v>
                </c:pt>
                <c:pt idx="50">
                  <c:v>2300.15</c:v>
                </c:pt>
                <c:pt idx="51">
                  <c:v>2331.65</c:v>
                </c:pt>
                <c:pt idx="52">
                  <c:v>2301.02</c:v>
                </c:pt>
                <c:pt idx="53">
                  <c:v>2363.75</c:v>
                </c:pt>
                <c:pt idx="54">
                  <c:v>2392.1</c:v>
                </c:pt>
                <c:pt idx="55">
                  <c:v>2224.7600000000002</c:v>
                </c:pt>
                <c:pt idx="56">
                  <c:v>2138.9499999999998</c:v>
                </c:pt>
                <c:pt idx="57">
                  <c:v>1966.91</c:v>
                </c:pt>
                <c:pt idx="58">
                  <c:v>2082.87</c:v>
                </c:pt>
                <c:pt idx="59">
                  <c:v>1935.83</c:v>
                </c:pt>
                <c:pt idx="60">
                  <c:v>1943.09</c:v>
                </c:pt>
                <c:pt idx="61">
                  <c:v>2031</c:v>
                </c:pt>
                <c:pt idx="62">
                  <c:v>2156.9</c:v>
                </c:pt>
                <c:pt idx="63">
                  <c:v>2254.7800000000002</c:v>
                </c:pt>
                <c:pt idx="64">
                  <c:v>2115.4</c:v>
                </c:pt>
                <c:pt idx="65">
                  <c:v>2096.1999999999998</c:v>
                </c:pt>
                <c:pt idx="66">
                  <c:v>2143.38</c:v>
                </c:pt>
                <c:pt idx="67">
                  <c:v>2122.1</c:v>
                </c:pt>
                <c:pt idx="68">
                  <c:v>2076.4299999999998</c:v>
                </c:pt>
                <c:pt idx="69">
                  <c:v>2119.39</c:v>
                </c:pt>
                <c:pt idx="70">
                  <c:v>2132.09</c:v>
                </c:pt>
                <c:pt idx="71">
                  <c:v>2246.14</c:v>
                </c:pt>
                <c:pt idx="72">
                  <c:v>2162.1799999999998</c:v>
                </c:pt>
                <c:pt idx="73">
                  <c:v>2166.9299999999998</c:v>
                </c:pt>
                <c:pt idx="74">
                  <c:v>2096.5</c:v>
                </c:pt>
                <c:pt idx="75">
                  <c:v>2046.35</c:v>
                </c:pt>
                <c:pt idx="76">
                  <c:v>2111.6</c:v>
                </c:pt>
                <c:pt idx="77">
                  <c:v>2089.4</c:v>
                </c:pt>
                <c:pt idx="78">
                  <c:v>2071.5500000000002</c:v>
                </c:pt>
                <c:pt idx="79">
                  <c:v>2181.6799999999998</c:v>
                </c:pt>
                <c:pt idx="80">
                  <c:v>2196.0500000000002</c:v>
                </c:pt>
                <c:pt idx="81">
                  <c:v>2154.9299999999998</c:v>
                </c:pt>
                <c:pt idx="82">
                  <c:v>1993.69</c:v>
                </c:pt>
                <c:pt idx="83">
                  <c:v>2008</c:v>
                </c:pt>
                <c:pt idx="84">
                  <c:v>2054.4299999999998</c:v>
                </c:pt>
                <c:pt idx="85">
                  <c:v>1989.41</c:v>
                </c:pt>
                <c:pt idx="86">
                  <c:v>2012.14</c:v>
                </c:pt>
                <c:pt idx="87">
                  <c:v>1927.97</c:v>
                </c:pt>
                <c:pt idx="88">
                  <c:v>1956.43</c:v>
                </c:pt>
                <c:pt idx="89">
                  <c:v>1978.5</c:v>
                </c:pt>
                <c:pt idx="90">
                  <c:v>2041.23</c:v>
                </c:pt>
                <c:pt idx="91">
                  <c:v>1976.31</c:v>
                </c:pt>
                <c:pt idx="92">
                  <c:v>1890.35</c:v>
                </c:pt>
                <c:pt idx="93">
                  <c:v>1939.08</c:v>
                </c:pt>
                <c:pt idx="94">
                  <c:v>1961.68</c:v>
                </c:pt>
                <c:pt idx="95">
                  <c:v>1954.9</c:v>
                </c:pt>
                <c:pt idx="96">
                  <c:v>1966.93</c:v>
                </c:pt>
                <c:pt idx="97">
                  <c:v>2009.27</c:v>
                </c:pt>
                <c:pt idx="98">
                  <c:v>1991.1</c:v>
                </c:pt>
                <c:pt idx="99">
                  <c:v>1969.7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6-47D3-AE74-4AC5F6780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986304"/>
        <c:axId val="553993504"/>
      </c:lineChart>
      <c:catAx>
        <c:axId val="5539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93504"/>
        <c:crosses val="autoZero"/>
        <c:auto val="1"/>
        <c:lblAlgn val="ctr"/>
        <c:lblOffset val="100"/>
        <c:noMultiLvlLbl val="0"/>
      </c:catAx>
      <c:valAx>
        <c:axId val="5539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'HBA HMA'!$B$7</c:f>
              <c:strCache>
                <c:ptCount val="1"/>
                <c:pt idx="0">
                  <c:v>Seng (USD/dmt)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HMA'!$C$7:$CX$7</c:f>
              <c:numCache>
                <c:formatCode>General</c:formatCode>
                <c:ptCount val="100"/>
                <c:pt idx="0">
                  <c:v>3239.61</c:v>
                </c:pt>
                <c:pt idx="1">
                  <c:v>3249.17</c:v>
                </c:pt>
                <c:pt idx="2">
                  <c:v>3187.5</c:v>
                </c:pt>
                <c:pt idx="3">
                  <c:v>3363.7</c:v>
                </c:pt>
                <c:pt idx="4">
                  <c:v>3524.83</c:v>
                </c:pt>
                <c:pt idx="5">
                  <c:v>3382.9</c:v>
                </c:pt>
                <c:pt idx="6">
                  <c:v>3222.74</c:v>
                </c:pt>
                <c:pt idx="7">
                  <c:v>3098.3</c:v>
                </c:pt>
                <c:pt idx="8">
                  <c:v>3128.57</c:v>
                </c:pt>
                <c:pt idx="9">
                  <c:v>2782.55</c:v>
                </c:pt>
                <c:pt idx="10">
                  <c:v>2571.38</c:v>
                </c:pt>
                <c:pt idx="11">
                  <c:v>2422.4299999999998</c:v>
                </c:pt>
                <c:pt idx="12">
                  <c:v>2616.9299999999998</c:v>
                </c:pt>
                <c:pt idx="13">
                  <c:v>2624.29</c:v>
                </c:pt>
                <c:pt idx="14">
                  <c:v>2631.95</c:v>
                </c:pt>
                <c:pt idx="15">
                  <c:v>2517.7399999999998</c:v>
                </c:pt>
                <c:pt idx="16">
                  <c:v>2666.93</c:v>
                </c:pt>
                <c:pt idx="17">
                  <c:v>2789.5</c:v>
                </c:pt>
                <c:pt idx="18">
                  <c:v>2940.43</c:v>
                </c:pt>
                <c:pt idx="19">
                  <c:v>2818.39</c:v>
                </c:pt>
                <c:pt idx="20">
                  <c:v>2649.66</c:v>
                </c:pt>
                <c:pt idx="21">
                  <c:v>2487.86</c:v>
                </c:pt>
                <c:pt idx="22">
                  <c:v>2343.71</c:v>
                </c:pt>
                <c:pt idx="23">
                  <c:v>2295.4499999999998</c:v>
                </c:pt>
                <c:pt idx="24">
                  <c:v>2365.19</c:v>
                </c:pt>
                <c:pt idx="25">
                  <c:v>2515.34</c:v>
                </c:pt>
                <c:pt idx="26">
                  <c:v>2284.09</c:v>
                </c:pt>
                <c:pt idx="27">
                  <c:v>2349.64</c:v>
                </c:pt>
                <c:pt idx="28">
                  <c:v>2239.61</c:v>
                </c:pt>
                <c:pt idx="29">
                  <c:v>1978.31</c:v>
                </c:pt>
                <c:pt idx="30">
                  <c:v>1866.11</c:v>
                </c:pt>
                <c:pt idx="31">
                  <c:v>1934.31</c:v>
                </c:pt>
                <c:pt idx="32">
                  <c:v>1997.07</c:v>
                </c:pt>
                <c:pt idx="33">
                  <c:v>2088.7800000000002</c:v>
                </c:pt>
                <c:pt idx="34">
                  <c:v>2310.7399999999998</c:v>
                </c:pt>
                <c:pt idx="35">
                  <c:v>2467.2399999999998</c:v>
                </c:pt>
                <c:pt idx="36">
                  <c:v>2396.2600000000002</c:v>
                </c:pt>
                <c:pt idx="37">
                  <c:v>2585.33</c:v>
                </c:pt>
                <c:pt idx="38">
                  <c:v>2778.95</c:v>
                </c:pt>
                <c:pt idx="39">
                  <c:v>2762.34</c:v>
                </c:pt>
                <c:pt idx="40">
                  <c:v>2680.76</c:v>
                </c:pt>
                <c:pt idx="41">
                  <c:v>2799.25</c:v>
                </c:pt>
                <c:pt idx="42">
                  <c:v>2807.29</c:v>
                </c:pt>
                <c:pt idx="43">
                  <c:v>2920.67</c:v>
                </c:pt>
                <c:pt idx="44">
                  <c:v>2983.55</c:v>
                </c:pt>
                <c:pt idx="45">
                  <c:v>2915.29</c:v>
                </c:pt>
                <c:pt idx="46">
                  <c:v>2915.29</c:v>
                </c:pt>
                <c:pt idx="47">
                  <c:v>3018.13</c:v>
                </c:pt>
                <c:pt idx="48">
                  <c:v>3195.77</c:v>
                </c:pt>
                <c:pt idx="49">
                  <c:v>3360.96</c:v>
                </c:pt>
                <c:pt idx="50">
                  <c:v>3340.45</c:v>
                </c:pt>
                <c:pt idx="51">
                  <c:v>3564.53</c:v>
                </c:pt>
                <c:pt idx="52">
                  <c:v>3648</c:v>
                </c:pt>
                <c:pt idx="53">
                  <c:v>3831.8</c:v>
                </c:pt>
                <c:pt idx="54">
                  <c:v>4240.7299999999996</c:v>
                </c:pt>
                <c:pt idx="55">
                  <c:v>3964.33</c:v>
                </c:pt>
                <c:pt idx="56">
                  <c:v>3772.24</c:v>
                </c:pt>
                <c:pt idx="57">
                  <c:v>3262.23</c:v>
                </c:pt>
                <c:pt idx="58">
                  <c:v>3416.7</c:v>
                </c:pt>
                <c:pt idx="59">
                  <c:v>3342.58</c:v>
                </c:pt>
                <c:pt idx="60">
                  <c:v>2994.16</c:v>
                </c:pt>
                <c:pt idx="61">
                  <c:v>2927.73</c:v>
                </c:pt>
                <c:pt idx="62">
                  <c:v>3082.81</c:v>
                </c:pt>
                <c:pt idx="63">
                  <c:v>3135.63</c:v>
                </c:pt>
                <c:pt idx="64">
                  <c:v>3281.02</c:v>
                </c:pt>
                <c:pt idx="65">
                  <c:v>3014.45</c:v>
                </c:pt>
                <c:pt idx="66">
                  <c:v>2880.95</c:v>
                </c:pt>
                <c:pt idx="67">
                  <c:v>2602.1999999999998</c:v>
                </c:pt>
                <c:pt idx="68">
                  <c:v>2352.35</c:v>
                </c:pt>
                <c:pt idx="69">
                  <c:v>2364.9499999999998</c:v>
                </c:pt>
                <c:pt idx="70">
                  <c:v>2429.0500000000002</c:v>
                </c:pt>
                <c:pt idx="71">
                  <c:v>2427.98</c:v>
                </c:pt>
                <c:pt idx="72">
                  <c:v>2482.27</c:v>
                </c:pt>
                <c:pt idx="73">
                  <c:v>2509.48</c:v>
                </c:pt>
                <c:pt idx="74">
                  <c:v>2486.6799999999998</c:v>
                </c:pt>
                <c:pt idx="75">
                  <c:v>2534.5</c:v>
                </c:pt>
                <c:pt idx="76">
                  <c:v>2433.21</c:v>
                </c:pt>
                <c:pt idx="77">
                  <c:v>2433.9299999999998</c:v>
                </c:pt>
                <c:pt idx="78">
                  <c:v>2596.4</c:v>
                </c:pt>
                <c:pt idx="79">
                  <c:v>2875.42</c:v>
                </c:pt>
                <c:pt idx="80">
                  <c:v>2894.52</c:v>
                </c:pt>
                <c:pt idx="81">
                  <c:v>2861.05</c:v>
                </c:pt>
                <c:pt idx="82">
                  <c:v>2631.62</c:v>
                </c:pt>
                <c:pt idx="83">
                  <c:v>2796.11</c:v>
                </c:pt>
                <c:pt idx="84">
                  <c:v>3040.48</c:v>
                </c:pt>
                <c:pt idx="85">
                  <c:v>3045.48</c:v>
                </c:pt>
                <c:pt idx="86">
                  <c:v>3052.05</c:v>
                </c:pt>
                <c:pt idx="87">
                  <c:v>2896.25</c:v>
                </c:pt>
                <c:pt idx="88">
                  <c:v>2811.47</c:v>
                </c:pt>
                <c:pt idx="89">
                  <c:v>2826.27</c:v>
                </c:pt>
                <c:pt idx="90">
                  <c:v>2902.43</c:v>
                </c:pt>
                <c:pt idx="91">
                  <c:v>2800.34</c:v>
                </c:pt>
                <c:pt idx="92">
                  <c:v>2594.27</c:v>
                </c:pt>
                <c:pt idx="93">
                  <c:v>2595.88</c:v>
                </c:pt>
                <c:pt idx="94">
                  <c:v>2650.29</c:v>
                </c:pt>
                <c:pt idx="95">
                  <c:v>2659.2</c:v>
                </c:pt>
                <c:pt idx="96">
                  <c:v>2627.8</c:v>
                </c:pt>
                <c:pt idx="97">
                  <c:v>2696.83</c:v>
                </c:pt>
                <c:pt idx="98">
                  <c:v>2760.77</c:v>
                </c:pt>
                <c:pt idx="99">
                  <c:v>2799.58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A-4F25-AEC6-63704CC0F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255472"/>
        <c:axId val="438255952"/>
      </c:lineChart>
      <c:catAx>
        <c:axId val="43825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55952"/>
        <c:crosses val="autoZero"/>
        <c:auto val="1"/>
        <c:lblAlgn val="ctr"/>
        <c:lblOffset val="100"/>
        <c:noMultiLvlLbl val="0"/>
      </c:catAx>
      <c:valAx>
        <c:axId val="4382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5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'HBA HMA'!$B$8</c:f>
              <c:strCache>
                <c:ptCount val="1"/>
                <c:pt idx="0">
                  <c:v>Aluminium (USD/dmt)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HMA'!$C$8:$CX$8</c:f>
              <c:numCache>
                <c:formatCode>General</c:formatCode>
                <c:ptCount val="100"/>
                <c:pt idx="0">
                  <c:v>2124.3200000000002</c:v>
                </c:pt>
                <c:pt idx="1">
                  <c:v>2127.2600000000002</c:v>
                </c:pt>
                <c:pt idx="2">
                  <c:v>2046.93</c:v>
                </c:pt>
                <c:pt idx="3">
                  <c:v>2194.9299999999998</c:v>
                </c:pt>
                <c:pt idx="4">
                  <c:v>2199.5700000000002</c:v>
                </c:pt>
                <c:pt idx="5">
                  <c:v>2132.9499999999998</c:v>
                </c:pt>
                <c:pt idx="6">
                  <c:v>2150.79</c:v>
                </c:pt>
                <c:pt idx="7">
                  <c:v>2301.4299999999998</c:v>
                </c:pt>
                <c:pt idx="8">
                  <c:v>2275.4499999999998</c:v>
                </c:pt>
                <c:pt idx="9">
                  <c:v>2136.61</c:v>
                </c:pt>
                <c:pt idx="10">
                  <c:v>1699.33</c:v>
                </c:pt>
                <c:pt idx="11">
                  <c:v>2040.59</c:v>
                </c:pt>
                <c:pt idx="12">
                  <c:v>2053.8200000000002</c:v>
                </c:pt>
                <c:pt idx="13">
                  <c:v>1956.02</c:v>
                </c:pt>
                <c:pt idx="14">
                  <c:v>1939.48</c:v>
                </c:pt>
                <c:pt idx="15">
                  <c:v>1854.24</c:v>
                </c:pt>
                <c:pt idx="16">
                  <c:v>1856.11</c:v>
                </c:pt>
                <c:pt idx="17">
                  <c:v>1866.65</c:v>
                </c:pt>
                <c:pt idx="18">
                  <c:v>1865.59</c:v>
                </c:pt>
                <c:pt idx="19">
                  <c:v>1801.86</c:v>
                </c:pt>
                <c:pt idx="20">
                  <c:v>1752</c:v>
                </c:pt>
                <c:pt idx="21">
                  <c:v>1787.93</c:v>
                </c:pt>
                <c:pt idx="22">
                  <c:v>1760.83</c:v>
                </c:pt>
                <c:pt idx="23">
                  <c:v>1749</c:v>
                </c:pt>
                <c:pt idx="24">
                  <c:v>1721.38</c:v>
                </c:pt>
                <c:pt idx="25">
                  <c:v>1758.05</c:v>
                </c:pt>
                <c:pt idx="26">
                  <c:v>1762.32</c:v>
                </c:pt>
                <c:pt idx="27">
                  <c:v>1780.22</c:v>
                </c:pt>
                <c:pt idx="28">
                  <c:v>1723.11</c:v>
                </c:pt>
                <c:pt idx="29">
                  <c:v>1667.76</c:v>
                </c:pt>
                <c:pt idx="30">
                  <c:v>1480.63</c:v>
                </c:pt>
                <c:pt idx="31">
                  <c:v>1451.5</c:v>
                </c:pt>
                <c:pt idx="32">
                  <c:v>1536.23</c:v>
                </c:pt>
                <c:pt idx="33">
                  <c:v>1605.78</c:v>
                </c:pt>
                <c:pt idx="34">
                  <c:v>1700.65</c:v>
                </c:pt>
                <c:pt idx="35">
                  <c:v>1749.55</c:v>
                </c:pt>
                <c:pt idx="36">
                  <c:v>1768.52</c:v>
                </c:pt>
                <c:pt idx="37">
                  <c:v>1874</c:v>
                </c:pt>
                <c:pt idx="38">
                  <c:v>2010.1</c:v>
                </c:pt>
                <c:pt idx="39">
                  <c:v>2006.63</c:v>
                </c:pt>
                <c:pt idx="40">
                  <c:v>2029.61</c:v>
                </c:pt>
                <c:pt idx="41">
                  <c:v>2171.5500000000002</c:v>
                </c:pt>
                <c:pt idx="42">
                  <c:v>2255.2600000000002</c:v>
                </c:pt>
                <c:pt idx="43">
                  <c:v>2433.88</c:v>
                </c:pt>
                <c:pt idx="44">
                  <c:v>2418.5500000000002</c:v>
                </c:pt>
                <c:pt idx="45">
                  <c:v>2466.4499999999998</c:v>
                </c:pt>
                <c:pt idx="46">
                  <c:v>2557.3000000000002</c:v>
                </c:pt>
                <c:pt idx="47">
                  <c:v>2748.9</c:v>
                </c:pt>
                <c:pt idx="48">
                  <c:v>2961.68</c:v>
                </c:pt>
                <c:pt idx="49">
                  <c:v>2709.41</c:v>
                </c:pt>
                <c:pt idx="50">
                  <c:v>2650.05</c:v>
                </c:pt>
                <c:pt idx="51">
                  <c:v>2883.35</c:v>
                </c:pt>
                <c:pt idx="52">
                  <c:v>3159.86</c:v>
                </c:pt>
                <c:pt idx="53">
                  <c:v>3483.9</c:v>
                </c:pt>
                <c:pt idx="54">
                  <c:v>3440.38</c:v>
                </c:pt>
                <c:pt idx="55">
                  <c:v>2931.62</c:v>
                </c:pt>
                <c:pt idx="56">
                  <c:v>2738.74</c:v>
                </c:pt>
                <c:pt idx="57">
                  <c:v>2412.5700000000002</c:v>
                </c:pt>
                <c:pt idx="58">
                  <c:v>2436.52</c:v>
                </c:pt>
                <c:pt idx="59">
                  <c:v>2324.0500000000002</c:v>
                </c:pt>
                <c:pt idx="60">
                  <c:v>2225.5</c:v>
                </c:pt>
                <c:pt idx="61">
                  <c:v>2282.98</c:v>
                </c:pt>
                <c:pt idx="62">
                  <c:v>2393.71</c:v>
                </c:pt>
                <c:pt idx="63">
                  <c:v>2402.5300000000002</c:v>
                </c:pt>
                <c:pt idx="64">
                  <c:v>2501.5500000000002</c:v>
                </c:pt>
                <c:pt idx="65">
                  <c:v>2313.8000000000002</c:v>
                </c:pt>
                <c:pt idx="66">
                  <c:v>2313.4499999999998</c:v>
                </c:pt>
                <c:pt idx="67">
                  <c:v>2307.0300000000002</c:v>
                </c:pt>
                <c:pt idx="68">
                  <c:v>2218.4499999999998</c:v>
                </c:pt>
                <c:pt idx="69">
                  <c:v>2141.25</c:v>
                </c:pt>
                <c:pt idx="70">
                  <c:v>2151.5700000000002</c:v>
                </c:pt>
                <c:pt idx="71">
                  <c:v>2144.36</c:v>
                </c:pt>
                <c:pt idx="72">
                  <c:v>2201.0700000000002</c:v>
                </c:pt>
                <c:pt idx="73">
                  <c:v>2205.4</c:v>
                </c:pt>
                <c:pt idx="74">
                  <c:v>2154.0700000000002</c:v>
                </c:pt>
                <c:pt idx="75">
                  <c:v>2214.2800000000002</c:v>
                </c:pt>
                <c:pt idx="76">
                  <c:v>2195</c:v>
                </c:pt>
                <c:pt idx="77">
                  <c:v>2187.0500000000002</c:v>
                </c:pt>
                <c:pt idx="78">
                  <c:v>2390.31</c:v>
                </c:pt>
                <c:pt idx="79">
                  <c:v>2539.08</c:v>
                </c:pt>
                <c:pt idx="80">
                  <c:v>2562.36</c:v>
                </c:pt>
                <c:pt idx="81">
                  <c:v>2440.3200000000002</c:v>
                </c:pt>
                <c:pt idx="82">
                  <c:v>2244.1</c:v>
                </c:pt>
                <c:pt idx="83">
                  <c:v>2430.3200000000002</c:v>
                </c:pt>
                <c:pt idx="84">
                  <c:v>2571.5</c:v>
                </c:pt>
                <c:pt idx="85">
                  <c:v>2591.86</c:v>
                </c:pt>
                <c:pt idx="86">
                  <c:v>2565.23</c:v>
                </c:pt>
                <c:pt idx="87">
                  <c:v>2531.9699999999998</c:v>
                </c:pt>
                <c:pt idx="88">
                  <c:v>2659.1</c:v>
                </c:pt>
                <c:pt idx="89">
                  <c:v>2673.04</c:v>
                </c:pt>
                <c:pt idx="90">
                  <c:v>2687.27</c:v>
                </c:pt>
                <c:pt idx="91">
                  <c:v>2517.4699999999998</c:v>
                </c:pt>
                <c:pt idx="92">
                  <c:v>2355.31</c:v>
                </c:pt>
                <c:pt idx="93">
                  <c:v>2392.88</c:v>
                </c:pt>
                <c:pt idx="94">
                  <c:v>2443.3200000000002</c:v>
                </c:pt>
                <c:pt idx="95">
                  <c:v>2457.13</c:v>
                </c:pt>
                <c:pt idx="96">
                  <c:v>2515.1</c:v>
                </c:pt>
                <c:pt idx="97">
                  <c:v>2577.4</c:v>
                </c:pt>
                <c:pt idx="98">
                  <c:v>2604.4</c:v>
                </c:pt>
                <c:pt idx="99">
                  <c:v>2611.4699999999998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5-4471-A38A-322FFF4B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424928"/>
        <c:axId val="351408608"/>
      </c:lineChart>
      <c:catAx>
        <c:axId val="35142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08608"/>
        <c:crosses val="autoZero"/>
        <c:auto val="1"/>
        <c:lblAlgn val="ctr"/>
        <c:lblOffset val="100"/>
        <c:noMultiLvlLbl val="0"/>
      </c:catAx>
      <c:valAx>
        <c:axId val="3514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2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'HBA HMA'!$B$9</c:f>
              <c:strCache>
                <c:ptCount val="1"/>
                <c:pt idx="0">
                  <c:v>Tembaga (USD/dmt)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HMA'!$C$9:$CX$9</c:f>
              <c:numCache>
                <c:formatCode>General</c:formatCode>
                <c:ptCount val="100"/>
                <c:pt idx="0">
                  <c:v>6618.05</c:v>
                </c:pt>
                <c:pt idx="1">
                  <c:v>6860.5</c:v>
                </c:pt>
                <c:pt idx="2">
                  <c:v>6741.5</c:v>
                </c:pt>
                <c:pt idx="3">
                  <c:v>7095.83</c:v>
                </c:pt>
                <c:pt idx="4">
                  <c:v>7004.4</c:v>
                </c:pt>
                <c:pt idx="5">
                  <c:v>6932.35</c:v>
                </c:pt>
                <c:pt idx="6">
                  <c:v>6751.79</c:v>
                </c:pt>
                <c:pt idx="7">
                  <c:v>6837.1</c:v>
                </c:pt>
                <c:pt idx="8">
                  <c:v>6996.69</c:v>
                </c:pt>
                <c:pt idx="9">
                  <c:v>6446.39</c:v>
                </c:pt>
                <c:pt idx="10">
                  <c:v>6107.4</c:v>
                </c:pt>
                <c:pt idx="11">
                  <c:v>5956.98</c:v>
                </c:pt>
                <c:pt idx="12">
                  <c:v>6226.2</c:v>
                </c:pt>
                <c:pt idx="13">
                  <c:v>6174.14</c:v>
                </c:pt>
                <c:pt idx="14">
                  <c:v>6180.77</c:v>
                </c:pt>
                <c:pt idx="15">
                  <c:v>5926.24</c:v>
                </c:pt>
                <c:pt idx="16">
                  <c:v>6093.59</c:v>
                </c:pt>
                <c:pt idx="17">
                  <c:v>6475.48</c:v>
                </c:pt>
                <c:pt idx="18">
                  <c:v>6442.16</c:v>
                </c:pt>
                <c:pt idx="19">
                  <c:v>6218.67</c:v>
                </c:pt>
                <c:pt idx="20">
                  <c:v>5852</c:v>
                </c:pt>
                <c:pt idx="21">
                  <c:v>5937.45</c:v>
                </c:pt>
                <c:pt idx="22">
                  <c:v>5816.4</c:v>
                </c:pt>
                <c:pt idx="23">
                  <c:v>5725.3</c:v>
                </c:pt>
                <c:pt idx="24">
                  <c:v>5697.05</c:v>
                </c:pt>
                <c:pt idx="25">
                  <c:v>5851.98</c:v>
                </c:pt>
                <c:pt idx="26">
                  <c:v>5959.75</c:v>
                </c:pt>
                <c:pt idx="27">
                  <c:v>6178.78</c:v>
                </c:pt>
                <c:pt idx="28">
                  <c:v>5786.04</c:v>
                </c:pt>
                <c:pt idx="29">
                  <c:v>5493.5</c:v>
                </c:pt>
                <c:pt idx="30">
                  <c:v>4889.68</c:v>
                </c:pt>
                <c:pt idx="31">
                  <c:v>5162.17</c:v>
                </c:pt>
                <c:pt idx="32">
                  <c:v>5550.18</c:v>
                </c:pt>
                <c:pt idx="33">
                  <c:v>6150.3</c:v>
                </c:pt>
                <c:pt idx="34">
                  <c:v>6447.8</c:v>
                </c:pt>
                <c:pt idx="35">
                  <c:v>6701.07</c:v>
                </c:pt>
                <c:pt idx="36">
                  <c:v>6639.12</c:v>
                </c:pt>
                <c:pt idx="37">
                  <c:v>6874.41</c:v>
                </c:pt>
                <c:pt idx="38">
                  <c:v>7607.31</c:v>
                </c:pt>
                <c:pt idx="39">
                  <c:v>7921.82</c:v>
                </c:pt>
                <c:pt idx="40">
                  <c:v>8101.57</c:v>
                </c:pt>
                <c:pt idx="41">
                  <c:v>9099.58</c:v>
                </c:pt>
                <c:pt idx="42">
                  <c:v>8994.9699999999993</c:v>
                </c:pt>
                <c:pt idx="43">
                  <c:v>10031.36</c:v>
                </c:pt>
                <c:pt idx="44">
                  <c:v>9869</c:v>
                </c:pt>
                <c:pt idx="45">
                  <c:v>9334.07</c:v>
                </c:pt>
                <c:pt idx="46">
                  <c:v>9448.7999999999993</c:v>
                </c:pt>
                <c:pt idx="47">
                  <c:v>9360.7800000000007</c:v>
                </c:pt>
                <c:pt idx="48">
                  <c:v>9470.34</c:v>
                </c:pt>
                <c:pt idx="49">
                  <c:v>9844.41</c:v>
                </c:pt>
                <c:pt idx="50">
                  <c:v>9604</c:v>
                </c:pt>
                <c:pt idx="51">
                  <c:v>9687.33</c:v>
                </c:pt>
                <c:pt idx="52">
                  <c:v>9888.14</c:v>
                </c:pt>
                <c:pt idx="53">
                  <c:v>10124.75</c:v>
                </c:pt>
                <c:pt idx="54">
                  <c:v>10311.18</c:v>
                </c:pt>
                <c:pt idx="55">
                  <c:v>9581.83</c:v>
                </c:pt>
                <c:pt idx="56">
                  <c:v>9428.5300000000007</c:v>
                </c:pt>
                <c:pt idx="57">
                  <c:v>7957.07</c:v>
                </c:pt>
                <c:pt idx="58">
                  <c:v>7780.24</c:v>
                </c:pt>
                <c:pt idx="59">
                  <c:v>7901.75</c:v>
                </c:pt>
                <c:pt idx="60">
                  <c:v>7608.77</c:v>
                </c:pt>
                <c:pt idx="61">
                  <c:v>7890.73</c:v>
                </c:pt>
                <c:pt idx="62">
                  <c:v>8235.57</c:v>
                </c:pt>
                <c:pt idx="63">
                  <c:v>8671.85</c:v>
                </c:pt>
                <c:pt idx="64">
                  <c:v>9070.33</c:v>
                </c:pt>
                <c:pt idx="65">
                  <c:v>8843.1</c:v>
                </c:pt>
                <c:pt idx="66">
                  <c:v>8910.6200000000008</c:v>
                </c:pt>
                <c:pt idx="67">
                  <c:v>8458.3799999999992</c:v>
                </c:pt>
                <c:pt idx="68">
                  <c:v>8247.1</c:v>
                </c:pt>
                <c:pt idx="69">
                  <c:v>8394.61</c:v>
                </c:pt>
                <c:pt idx="70">
                  <c:v>8420.14</c:v>
                </c:pt>
                <c:pt idx="71">
                  <c:v>8353.2099999999991</c:v>
                </c:pt>
                <c:pt idx="72">
                  <c:v>8007.89</c:v>
                </c:pt>
                <c:pt idx="73">
                  <c:v>8032.14</c:v>
                </c:pt>
                <c:pt idx="74">
                  <c:v>8331.57</c:v>
                </c:pt>
                <c:pt idx="75">
                  <c:v>8359.5300000000007</c:v>
                </c:pt>
                <c:pt idx="76">
                  <c:v>8313.83</c:v>
                </c:pt>
                <c:pt idx="77">
                  <c:v>8544.57</c:v>
                </c:pt>
                <c:pt idx="78">
                  <c:v>9134.1200000000008</c:v>
                </c:pt>
                <c:pt idx="79">
                  <c:v>9900.58</c:v>
                </c:pt>
                <c:pt idx="80">
                  <c:v>9978.75</c:v>
                </c:pt>
                <c:pt idx="81">
                  <c:v>9579.11</c:v>
                </c:pt>
                <c:pt idx="82">
                  <c:v>8903.07</c:v>
                </c:pt>
                <c:pt idx="83">
                  <c:v>9093.91</c:v>
                </c:pt>
                <c:pt idx="84">
                  <c:v>9617</c:v>
                </c:pt>
                <c:pt idx="85">
                  <c:v>9280.23</c:v>
                </c:pt>
                <c:pt idx="86">
                  <c:v>8945.2999999999993</c:v>
                </c:pt>
                <c:pt idx="87">
                  <c:v>8895.14</c:v>
                </c:pt>
                <c:pt idx="88">
                  <c:v>9362.83</c:v>
                </c:pt>
                <c:pt idx="89">
                  <c:v>9484</c:v>
                </c:pt>
                <c:pt idx="90">
                  <c:v>9763.8700000000008</c:v>
                </c:pt>
                <c:pt idx="91">
                  <c:v>9525.19</c:v>
                </c:pt>
                <c:pt idx="92">
                  <c:v>9096.92</c:v>
                </c:pt>
                <c:pt idx="93">
                  <c:v>9384.3799999999992</c:v>
                </c:pt>
                <c:pt idx="94">
                  <c:v>9530.36</c:v>
                </c:pt>
                <c:pt idx="95">
                  <c:v>9649.6299999999992</c:v>
                </c:pt>
                <c:pt idx="96">
                  <c:v>9822.07</c:v>
                </c:pt>
                <c:pt idx="97">
                  <c:v>9952.5300000000007</c:v>
                </c:pt>
                <c:pt idx="98">
                  <c:v>9725.3700000000008</c:v>
                </c:pt>
                <c:pt idx="99">
                  <c:v>9701.83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4-4ABB-9A87-EF1DAF4AE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731552"/>
        <c:axId val="721733472"/>
      </c:lineChart>
      <c:catAx>
        <c:axId val="7217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33472"/>
        <c:crosses val="autoZero"/>
        <c:auto val="1"/>
        <c:lblAlgn val="ctr"/>
        <c:lblOffset val="100"/>
        <c:noMultiLvlLbl val="0"/>
      </c:catAx>
      <c:valAx>
        <c:axId val="72173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strRef>
              <c:f>'HBA HMA'!$B$10</c:f>
              <c:strCache>
                <c:ptCount val="1"/>
                <c:pt idx="0">
                  <c:v>Emas sebagai mineral ikutan (USD/Troy Ounce)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HMA'!$C$10:$CX$10</c:f>
              <c:numCache>
                <c:formatCode>General</c:formatCode>
                <c:ptCount val="100"/>
                <c:pt idx="0">
                  <c:v>1286.3599999999999</c:v>
                </c:pt>
                <c:pt idx="1">
                  <c:v>1276.76</c:v>
                </c:pt>
                <c:pt idx="2">
                  <c:v>1269.54</c:v>
                </c:pt>
                <c:pt idx="3">
                  <c:v>1309.96</c:v>
                </c:pt>
                <c:pt idx="4">
                  <c:v>1337.54</c:v>
                </c:pt>
                <c:pt idx="5">
                  <c:v>1323.17</c:v>
                </c:pt>
                <c:pt idx="6">
                  <c:v>1337.43</c:v>
                </c:pt>
                <c:pt idx="7">
                  <c:v>1312.51</c:v>
                </c:pt>
                <c:pt idx="8">
                  <c:v>1295.1500000000001</c:v>
                </c:pt>
                <c:pt idx="9">
                  <c:v>1251.46</c:v>
                </c:pt>
                <c:pt idx="10">
                  <c:v>1212.3699999999999</c:v>
                </c:pt>
                <c:pt idx="11">
                  <c:v>1198.5899999999999</c:v>
                </c:pt>
                <c:pt idx="12">
                  <c:v>1204.9100000000001</c:v>
                </c:pt>
                <c:pt idx="13">
                  <c:v>1223.05</c:v>
                </c:pt>
                <c:pt idx="14">
                  <c:v>1234.1500000000001</c:v>
                </c:pt>
                <c:pt idx="15">
                  <c:v>1282.29</c:v>
                </c:pt>
                <c:pt idx="16">
                  <c:v>1307.3599999999999</c:v>
                </c:pt>
                <c:pt idx="17">
                  <c:v>1308.02</c:v>
                </c:pt>
                <c:pt idx="18">
                  <c:v>1296.44</c:v>
                </c:pt>
                <c:pt idx="19">
                  <c:v>1283.69</c:v>
                </c:pt>
                <c:pt idx="20">
                  <c:v>1312.55</c:v>
                </c:pt>
                <c:pt idx="21">
                  <c:v>1406.29</c:v>
                </c:pt>
                <c:pt idx="22">
                  <c:v>1462.46</c:v>
                </c:pt>
                <c:pt idx="23">
                  <c:v>1515.23</c:v>
                </c:pt>
                <c:pt idx="24">
                  <c:v>1498.65</c:v>
                </c:pt>
                <c:pt idx="25">
                  <c:v>1484.03</c:v>
                </c:pt>
                <c:pt idx="26">
                  <c:v>1466.68</c:v>
                </c:pt>
                <c:pt idx="27">
                  <c:v>1536.14</c:v>
                </c:pt>
                <c:pt idx="28">
                  <c:v>1571.59</c:v>
                </c:pt>
                <c:pt idx="29">
                  <c:v>1609.19</c:v>
                </c:pt>
                <c:pt idx="30">
                  <c:v>1632.92</c:v>
                </c:pt>
                <c:pt idx="31">
                  <c:v>1708.91</c:v>
                </c:pt>
                <c:pt idx="32">
                  <c:v>1719.81</c:v>
                </c:pt>
                <c:pt idx="33">
                  <c:v>1784.74</c:v>
                </c:pt>
                <c:pt idx="34">
                  <c:v>1951.85</c:v>
                </c:pt>
                <c:pt idx="35">
                  <c:v>1941.15</c:v>
                </c:pt>
                <c:pt idx="36">
                  <c:v>1895.14</c:v>
                </c:pt>
                <c:pt idx="37">
                  <c:v>1891.82</c:v>
                </c:pt>
                <c:pt idx="38">
                  <c:v>1835.43</c:v>
                </c:pt>
                <c:pt idx="39">
                  <c:v>1876.42</c:v>
                </c:pt>
                <c:pt idx="40">
                  <c:v>1830.05</c:v>
                </c:pt>
                <c:pt idx="41">
                  <c:v>1734.7</c:v>
                </c:pt>
                <c:pt idx="42">
                  <c:v>1735.31</c:v>
                </c:pt>
                <c:pt idx="43">
                  <c:v>1809.73</c:v>
                </c:pt>
                <c:pt idx="44">
                  <c:v>1874.33</c:v>
                </c:pt>
                <c:pt idx="45">
                  <c:v>1794.84</c:v>
                </c:pt>
                <c:pt idx="46">
                  <c:v>1789.64</c:v>
                </c:pt>
                <c:pt idx="47">
                  <c:v>1795.32</c:v>
                </c:pt>
                <c:pt idx="48">
                  <c:v>1762.57</c:v>
                </c:pt>
                <c:pt idx="49">
                  <c:v>1817.52</c:v>
                </c:pt>
                <c:pt idx="50">
                  <c:v>1786.24</c:v>
                </c:pt>
                <c:pt idx="51">
                  <c:v>1807.53</c:v>
                </c:pt>
                <c:pt idx="52">
                  <c:v>1831.08</c:v>
                </c:pt>
                <c:pt idx="53">
                  <c:v>1940.31</c:v>
                </c:pt>
                <c:pt idx="54">
                  <c:v>1942.41</c:v>
                </c:pt>
                <c:pt idx="55">
                  <c:v>1873.14</c:v>
                </c:pt>
                <c:pt idx="56">
                  <c:v>1842.57</c:v>
                </c:pt>
                <c:pt idx="57">
                  <c:v>1778.12</c:v>
                </c:pt>
                <c:pt idx="58">
                  <c:v>1759.97</c:v>
                </c:pt>
                <c:pt idx="59">
                  <c:v>1716.37</c:v>
                </c:pt>
                <c:pt idx="60">
                  <c:v>1666.39</c:v>
                </c:pt>
                <c:pt idx="61">
                  <c:v>1690.86</c:v>
                </c:pt>
                <c:pt idx="62">
                  <c:v>1775.03</c:v>
                </c:pt>
                <c:pt idx="63">
                  <c:v>1862.54</c:v>
                </c:pt>
                <c:pt idx="64">
                  <c:v>1889.85</c:v>
                </c:pt>
                <c:pt idx="65">
                  <c:v>1856.45</c:v>
                </c:pt>
                <c:pt idx="66">
                  <c:v>1988.21</c:v>
                </c:pt>
                <c:pt idx="67">
                  <c:v>1999.99</c:v>
                </c:pt>
                <c:pt idx="68">
                  <c:v>1959.85</c:v>
                </c:pt>
                <c:pt idx="69">
                  <c:v>1931.95</c:v>
                </c:pt>
                <c:pt idx="70">
                  <c:v>1935.49</c:v>
                </c:pt>
                <c:pt idx="71">
                  <c:v>1921.85</c:v>
                </c:pt>
                <c:pt idx="72">
                  <c:v>1885.22</c:v>
                </c:pt>
                <c:pt idx="73">
                  <c:v>1973.74</c:v>
                </c:pt>
                <c:pt idx="74">
                  <c:v>2015.23</c:v>
                </c:pt>
                <c:pt idx="75">
                  <c:v>2043.09</c:v>
                </c:pt>
                <c:pt idx="76">
                  <c:v>2022.29</c:v>
                </c:pt>
                <c:pt idx="77">
                  <c:v>2102.25</c:v>
                </c:pt>
                <c:pt idx="78">
                  <c:v>2286.7800000000002</c:v>
                </c:pt>
                <c:pt idx="79">
                  <c:v>2333.4</c:v>
                </c:pt>
                <c:pt idx="80">
                  <c:v>2344.4699999999998</c:v>
                </c:pt>
                <c:pt idx="81">
                  <c:v>2373.25</c:v>
                </c:pt>
                <c:pt idx="82">
                  <c:v>2425.4899999999998</c:v>
                </c:pt>
                <c:pt idx="83">
                  <c:v>2522.1799999999998</c:v>
                </c:pt>
                <c:pt idx="84">
                  <c:v>2650.71</c:v>
                </c:pt>
                <c:pt idx="85">
                  <c:v>2689.46</c:v>
                </c:pt>
                <c:pt idx="86">
                  <c:v>2651.36</c:v>
                </c:pt>
                <c:pt idx="87">
                  <c:v>2651.38</c:v>
                </c:pt>
                <c:pt idx="88">
                  <c:v>2907.23</c:v>
                </c:pt>
                <c:pt idx="89">
                  <c:v>2910.6</c:v>
                </c:pt>
                <c:pt idx="90">
                  <c:v>2973.68</c:v>
                </c:pt>
                <c:pt idx="91">
                  <c:v>3056.28</c:v>
                </c:pt>
                <c:pt idx="92">
                  <c:v>3216.94</c:v>
                </c:pt>
                <c:pt idx="93">
                  <c:v>3316.69</c:v>
                </c:pt>
                <c:pt idx="94">
                  <c:v>3279.13</c:v>
                </c:pt>
                <c:pt idx="95">
                  <c:v>3313.97</c:v>
                </c:pt>
                <c:pt idx="96">
                  <c:v>3362.93</c:v>
                </c:pt>
                <c:pt idx="97">
                  <c:v>3326.36</c:v>
                </c:pt>
                <c:pt idx="98">
                  <c:v>3347.17</c:v>
                </c:pt>
                <c:pt idx="99">
                  <c:v>3359.73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7-4FCF-90DC-2A3442F55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402864"/>
        <c:axId val="653403344"/>
      </c:lineChart>
      <c:catAx>
        <c:axId val="65340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403344"/>
        <c:crosses val="autoZero"/>
        <c:auto val="1"/>
        <c:lblAlgn val="ctr"/>
        <c:lblOffset val="100"/>
        <c:noMultiLvlLbl val="0"/>
      </c:catAx>
      <c:valAx>
        <c:axId val="6534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40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'HBA HMA'!$B$11</c:f>
              <c:strCache>
                <c:ptCount val="1"/>
                <c:pt idx="0">
                  <c:v>Perak sebagai mineral ikutan (USD/Troy Ounce)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HMA'!$C$11:$CX$11</c:f>
              <c:numCache>
                <c:formatCode>General</c:formatCode>
                <c:ptCount val="100"/>
                <c:pt idx="0">
                  <c:v>16.96</c:v>
                </c:pt>
                <c:pt idx="1">
                  <c:v>16.97</c:v>
                </c:pt>
                <c:pt idx="2">
                  <c:v>16.420000000000002</c:v>
                </c:pt>
                <c:pt idx="3">
                  <c:v>16.920000000000002</c:v>
                </c:pt>
                <c:pt idx="4">
                  <c:v>16.920000000000002</c:v>
                </c:pt>
                <c:pt idx="5">
                  <c:v>16.510000000000002</c:v>
                </c:pt>
                <c:pt idx="6">
                  <c:v>16.52</c:v>
                </c:pt>
                <c:pt idx="7">
                  <c:v>16.53</c:v>
                </c:pt>
                <c:pt idx="8">
                  <c:v>16.62</c:v>
                </c:pt>
                <c:pt idx="9">
                  <c:v>15.99</c:v>
                </c:pt>
                <c:pt idx="10">
                  <c:v>15.3</c:v>
                </c:pt>
                <c:pt idx="11">
                  <c:v>14.43</c:v>
                </c:pt>
                <c:pt idx="12">
                  <c:v>14.49</c:v>
                </c:pt>
                <c:pt idx="13">
                  <c:v>14.48</c:v>
                </c:pt>
                <c:pt idx="14">
                  <c:v>14.46</c:v>
                </c:pt>
                <c:pt idx="15">
                  <c:v>15.41</c:v>
                </c:pt>
                <c:pt idx="16">
                  <c:v>15.68</c:v>
                </c:pt>
                <c:pt idx="17">
                  <c:v>15.5</c:v>
                </c:pt>
                <c:pt idx="18">
                  <c:v>15.19</c:v>
                </c:pt>
                <c:pt idx="19">
                  <c:v>14.82</c:v>
                </c:pt>
                <c:pt idx="20">
                  <c:v>14.67</c:v>
                </c:pt>
                <c:pt idx="21">
                  <c:v>15.35</c:v>
                </c:pt>
                <c:pt idx="22">
                  <c:v>16.690000000000001</c:v>
                </c:pt>
                <c:pt idx="23">
                  <c:v>18.02</c:v>
                </c:pt>
                <c:pt idx="24">
                  <c:v>17.68</c:v>
                </c:pt>
                <c:pt idx="25">
                  <c:v>17.489999999999998</c:v>
                </c:pt>
                <c:pt idx="26">
                  <c:v>16.940000000000001</c:v>
                </c:pt>
                <c:pt idx="27">
                  <c:v>17.91</c:v>
                </c:pt>
                <c:pt idx="28">
                  <c:v>17.809999999999999</c:v>
                </c:pt>
                <c:pt idx="29">
                  <c:v>16.48</c:v>
                </c:pt>
                <c:pt idx="30">
                  <c:v>14.4</c:v>
                </c:pt>
                <c:pt idx="31">
                  <c:v>15.42</c:v>
                </c:pt>
                <c:pt idx="32">
                  <c:v>17.559999999999999</c:v>
                </c:pt>
                <c:pt idx="33">
                  <c:v>18.34</c:v>
                </c:pt>
                <c:pt idx="34">
                  <c:v>25.08</c:v>
                </c:pt>
                <c:pt idx="35">
                  <c:v>27.05</c:v>
                </c:pt>
                <c:pt idx="36">
                  <c:v>24.02</c:v>
                </c:pt>
                <c:pt idx="37">
                  <c:v>24.36</c:v>
                </c:pt>
                <c:pt idx="38">
                  <c:v>24</c:v>
                </c:pt>
                <c:pt idx="39">
                  <c:v>26.03</c:v>
                </c:pt>
                <c:pt idx="40">
                  <c:v>26.72</c:v>
                </c:pt>
                <c:pt idx="41">
                  <c:v>26.37</c:v>
                </c:pt>
                <c:pt idx="42">
                  <c:v>25.14</c:v>
                </c:pt>
                <c:pt idx="43">
                  <c:v>26.78</c:v>
                </c:pt>
                <c:pt idx="44">
                  <c:v>27.62</c:v>
                </c:pt>
                <c:pt idx="45">
                  <c:v>26.08</c:v>
                </c:pt>
                <c:pt idx="46">
                  <c:v>24.59</c:v>
                </c:pt>
                <c:pt idx="47">
                  <c:v>23.83</c:v>
                </c:pt>
                <c:pt idx="48">
                  <c:v>22.68</c:v>
                </c:pt>
                <c:pt idx="49">
                  <c:v>24.35</c:v>
                </c:pt>
                <c:pt idx="50">
                  <c:v>22.77</c:v>
                </c:pt>
                <c:pt idx="51">
                  <c:v>22.81</c:v>
                </c:pt>
                <c:pt idx="52">
                  <c:v>23.27</c:v>
                </c:pt>
                <c:pt idx="53">
                  <c:v>25.05</c:v>
                </c:pt>
                <c:pt idx="54">
                  <c:v>24.99</c:v>
                </c:pt>
                <c:pt idx="55">
                  <c:v>22.66</c:v>
                </c:pt>
                <c:pt idx="56">
                  <c:v>21.83</c:v>
                </c:pt>
                <c:pt idx="57">
                  <c:v>20.010000000000002</c:v>
                </c:pt>
                <c:pt idx="58">
                  <c:v>19.73</c:v>
                </c:pt>
                <c:pt idx="59">
                  <c:v>18.79</c:v>
                </c:pt>
                <c:pt idx="60">
                  <c:v>19.3</c:v>
                </c:pt>
                <c:pt idx="61">
                  <c:v>20.190000000000001</c:v>
                </c:pt>
                <c:pt idx="62">
                  <c:v>22.31</c:v>
                </c:pt>
                <c:pt idx="63">
                  <c:v>23.84</c:v>
                </c:pt>
                <c:pt idx="64">
                  <c:v>22.84</c:v>
                </c:pt>
                <c:pt idx="65">
                  <c:v>21.16</c:v>
                </c:pt>
                <c:pt idx="66">
                  <c:v>24.04</c:v>
                </c:pt>
                <c:pt idx="67">
                  <c:v>24.75</c:v>
                </c:pt>
                <c:pt idx="68">
                  <c:v>23.61</c:v>
                </c:pt>
                <c:pt idx="69">
                  <c:v>23.31</c:v>
                </c:pt>
                <c:pt idx="70">
                  <c:v>23.69</c:v>
                </c:pt>
                <c:pt idx="71">
                  <c:v>23.55</c:v>
                </c:pt>
                <c:pt idx="72">
                  <c:v>22.37</c:v>
                </c:pt>
                <c:pt idx="73">
                  <c:v>22.91</c:v>
                </c:pt>
                <c:pt idx="74">
                  <c:v>24.03</c:v>
                </c:pt>
                <c:pt idx="75">
                  <c:v>23.37</c:v>
                </c:pt>
                <c:pt idx="76">
                  <c:v>22.7</c:v>
                </c:pt>
                <c:pt idx="77">
                  <c:v>23.68</c:v>
                </c:pt>
                <c:pt idx="78">
                  <c:v>26.76</c:v>
                </c:pt>
                <c:pt idx="79">
                  <c:v>27.66</c:v>
                </c:pt>
                <c:pt idx="80">
                  <c:v>30.34</c:v>
                </c:pt>
                <c:pt idx="81">
                  <c:v>30.15</c:v>
                </c:pt>
                <c:pt idx="82">
                  <c:v>28.1</c:v>
                </c:pt>
                <c:pt idx="83">
                  <c:v>29.39</c:v>
                </c:pt>
                <c:pt idx="84">
                  <c:v>31.44</c:v>
                </c:pt>
                <c:pt idx="85">
                  <c:v>32.43</c:v>
                </c:pt>
                <c:pt idx="86">
                  <c:v>30.87</c:v>
                </c:pt>
                <c:pt idx="87">
                  <c:v>29.85</c:v>
                </c:pt>
                <c:pt idx="88">
                  <c:v>32.409999999999997</c:v>
                </c:pt>
                <c:pt idx="89">
                  <c:v>32.21</c:v>
                </c:pt>
                <c:pt idx="90">
                  <c:v>33.14</c:v>
                </c:pt>
                <c:pt idx="91">
                  <c:v>32.86</c:v>
                </c:pt>
                <c:pt idx="92">
                  <c:v>31.94</c:v>
                </c:pt>
                <c:pt idx="93">
                  <c:v>32.78</c:v>
                </c:pt>
                <c:pt idx="94">
                  <c:v>32.64</c:v>
                </c:pt>
                <c:pt idx="95">
                  <c:v>33.78</c:v>
                </c:pt>
                <c:pt idx="96">
                  <c:v>36.299999999999997</c:v>
                </c:pt>
                <c:pt idx="97">
                  <c:v>36.340000000000003</c:v>
                </c:pt>
                <c:pt idx="98">
                  <c:v>37.96</c:v>
                </c:pt>
                <c:pt idx="99">
                  <c:v>38.01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0-49EF-AE21-5E3D639A7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557040"/>
        <c:axId val="721571920"/>
      </c:lineChart>
      <c:catAx>
        <c:axId val="7215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71920"/>
        <c:crosses val="autoZero"/>
        <c:auto val="1"/>
        <c:lblAlgn val="ctr"/>
        <c:lblOffset val="100"/>
        <c:noMultiLvlLbl val="0"/>
      </c:catAx>
      <c:valAx>
        <c:axId val="72157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0"/>
          <c:tx>
            <c:strRef>
              <c:f>'HBA HMA'!$B$12</c:f>
              <c:strCache>
                <c:ptCount val="1"/>
                <c:pt idx="0">
                  <c:v>Mangan (USD/dmt)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HMA'!$C$12:$CX$12</c:f>
              <c:numCache>
                <c:formatCode>General</c:formatCode>
                <c:ptCount val="100"/>
                <c:pt idx="0">
                  <c:v>4.55</c:v>
                </c:pt>
                <c:pt idx="1">
                  <c:v>4.62</c:v>
                </c:pt>
                <c:pt idx="2">
                  <c:v>4.55</c:v>
                </c:pt>
                <c:pt idx="3">
                  <c:v>5.3</c:v>
                </c:pt>
                <c:pt idx="4">
                  <c:v>5.9</c:v>
                </c:pt>
                <c:pt idx="5">
                  <c:v>6.82</c:v>
                </c:pt>
                <c:pt idx="6">
                  <c:v>7.41</c:v>
                </c:pt>
                <c:pt idx="7">
                  <c:v>6.89</c:v>
                </c:pt>
                <c:pt idx="8">
                  <c:v>5.82</c:v>
                </c:pt>
                <c:pt idx="9">
                  <c:v>5.78</c:v>
                </c:pt>
                <c:pt idx="10">
                  <c:v>5.93</c:v>
                </c:pt>
                <c:pt idx="11">
                  <c:v>5.94</c:v>
                </c:pt>
                <c:pt idx="12">
                  <c:v>5.98</c:v>
                </c:pt>
                <c:pt idx="13">
                  <c:v>5.98</c:v>
                </c:pt>
                <c:pt idx="14">
                  <c:v>5.96</c:v>
                </c:pt>
                <c:pt idx="15">
                  <c:v>5.53</c:v>
                </c:pt>
                <c:pt idx="16">
                  <c:v>5.24</c:v>
                </c:pt>
                <c:pt idx="17">
                  <c:v>5.48</c:v>
                </c:pt>
                <c:pt idx="18">
                  <c:v>5.48</c:v>
                </c:pt>
                <c:pt idx="19">
                  <c:v>5.33</c:v>
                </c:pt>
                <c:pt idx="20">
                  <c:v>5.13</c:v>
                </c:pt>
                <c:pt idx="21">
                  <c:v>5.13</c:v>
                </c:pt>
                <c:pt idx="22">
                  <c:v>5.13</c:v>
                </c:pt>
                <c:pt idx="23">
                  <c:v>4.59</c:v>
                </c:pt>
                <c:pt idx="24">
                  <c:v>4.18</c:v>
                </c:pt>
                <c:pt idx="25">
                  <c:v>3.72</c:v>
                </c:pt>
                <c:pt idx="26">
                  <c:v>3.36</c:v>
                </c:pt>
                <c:pt idx="27">
                  <c:v>3.66</c:v>
                </c:pt>
                <c:pt idx="28">
                  <c:v>3.73</c:v>
                </c:pt>
                <c:pt idx="29">
                  <c:v>3.81</c:v>
                </c:pt>
                <c:pt idx="30">
                  <c:v>3.83</c:v>
                </c:pt>
                <c:pt idx="31">
                  <c:v>4.63</c:v>
                </c:pt>
                <c:pt idx="32">
                  <c:v>5.43</c:v>
                </c:pt>
                <c:pt idx="33">
                  <c:v>5.03</c:v>
                </c:pt>
                <c:pt idx="34">
                  <c:v>3.97</c:v>
                </c:pt>
                <c:pt idx="35">
                  <c:v>3.94</c:v>
                </c:pt>
                <c:pt idx="36">
                  <c:v>3.98</c:v>
                </c:pt>
                <c:pt idx="37">
                  <c:v>3.98</c:v>
                </c:pt>
                <c:pt idx="38">
                  <c:v>3.78</c:v>
                </c:pt>
                <c:pt idx="39">
                  <c:v>3.88</c:v>
                </c:pt>
                <c:pt idx="40">
                  <c:v>3.88</c:v>
                </c:pt>
                <c:pt idx="41">
                  <c:v>3.98</c:v>
                </c:pt>
                <c:pt idx="42">
                  <c:v>4.08</c:v>
                </c:pt>
                <c:pt idx="43">
                  <c:v>4.05</c:v>
                </c:pt>
                <c:pt idx="44">
                  <c:v>3.98</c:v>
                </c:pt>
                <c:pt idx="45">
                  <c:v>3.98</c:v>
                </c:pt>
                <c:pt idx="46">
                  <c:v>3.98</c:v>
                </c:pt>
                <c:pt idx="47">
                  <c:v>3.98</c:v>
                </c:pt>
                <c:pt idx="48">
                  <c:v>3.98</c:v>
                </c:pt>
                <c:pt idx="49">
                  <c:v>4.01</c:v>
                </c:pt>
                <c:pt idx="50">
                  <c:v>4.0999999999999996</c:v>
                </c:pt>
                <c:pt idx="51">
                  <c:v>4.13</c:v>
                </c:pt>
                <c:pt idx="52">
                  <c:v>4.13</c:v>
                </c:pt>
                <c:pt idx="53">
                  <c:v>4.13</c:v>
                </c:pt>
                <c:pt idx="54">
                  <c:v>4.13</c:v>
                </c:pt>
                <c:pt idx="55">
                  <c:v>4.2300000000000004</c:v>
                </c:pt>
                <c:pt idx="56">
                  <c:v>4.2300000000000004</c:v>
                </c:pt>
                <c:pt idx="57">
                  <c:v>4.2300000000000004</c:v>
                </c:pt>
                <c:pt idx="58">
                  <c:v>4.2300000000000004</c:v>
                </c:pt>
                <c:pt idx="59">
                  <c:v>4.17</c:v>
                </c:pt>
                <c:pt idx="60">
                  <c:v>4.03</c:v>
                </c:pt>
                <c:pt idx="61">
                  <c:v>4.07</c:v>
                </c:pt>
                <c:pt idx="62">
                  <c:v>4.08</c:v>
                </c:pt>
                <c:pt idx="63">
                  <c:v>4.08</c:v>
                </c:pt>
                <c:pt idx="64">
                  <c:v>4.08</c:v>
                </c:pt>
                <c:pt idx="65">
                  <c:v>4.08</c:v>
                </c:pt>
                <c:pt idx="66">
                  <c:v>4.0999999999999996</c:v>
                </c:pt>
                <c:pt idx="67">
                  <c:v>4.28</c:v>
                </c:pt>
                <c:pt idx="68">
                  <c:v>4.0199999999999996</c:v>
                </c:pt>
                <c:pt idx="69">
                  <c:v>3.82</c:v>
                </c:pt>
                <c:pt idx="70">
                  <c:v>3.63</c:v>
                </c:pt>
                <c:pt idx="71">
                  <c:v>3.58</c:v>
                </c:pt>
                <c:pt idx="72">
                  <c:v>3.56</c:v>
                </c:pt>
                <c:pt idx="73">
                  <c:v>3.55</c:v>
                </c:pt>
                <c:pt idx="74">
                  <c:v>3.52</c:v>
                </c:pt>
                <c:pt idx="75">
                  <c:v>3.48</c:v>
                </c:pt>
                <c:pt idx="76">
                  <c:v>3.52</c:v>
                </c:pt>
                <c:pt idx="77">
                  <c:v>3.52</c:v>
                </c:pt>
                <c:pt idx="78">
                  <c:v>3.53</c:v>
                </c:pt>
                <c:pt idx="79">
                  <c:v>3.54</c:v>
                </c:pt>
                <c:pt idx="80">
                  <c:v>3.54</c:v>
                </c:pt>
                <c:pt idx="81">
                  <c:v>3.85</c:v>
                </c:pt>
                <c:pt idx="82">
                  <c:v>4.1399999999999997</c:v>
                </c:pt>
                <c:pt idx="83">
                  <c:v>3.94</c:v>
                </c:pt>
                <c:pt idx="84">
                  <c:v>3.73</c:v>
                </c:pt>
                <c:pt idx="85">
                  <c:v>3.71</c:v>
                </c:pt>
                <c:pt idx="86">
                  <c:v>3.28</c:v>
                </c:pt>
                <c:pt idx="87">
                  <c:v>2.98</c:v>
                </c:pt>
                <c:pt idx="88">
                  <c:v>3.01</c:v>
                </c:pt>
                <c:pt idx="89">
                  <c:v>3.03</c:v>
                </c:pt>
                <c:pt idx="90">
                  <c:v>3.04</c:v>
                </c:pt>
                <c:pt idx="91">
                  <c:v>3.03</c:v>
                </c:pt>
                <c:pt idx="92">
                  <c:v>2.99</c:v>
                </c:pt>
                <c:pt idx="93">
                  <c:v>3</c:v>
                </c:pt>
                <c:pt idx="94">
                  <c:v>3.12</c:v>
                </c:pt>
                <c:pt idx="95">
                  <c:v>3.18</c:v>
                </c:pt>
                <c:pt idx="96">
                  <c:v>3.18</c:v>
                </c:pt>
                <c:pt idx="97">
                  <c:v>3.18</c:v>
                </c:pt>
                <c:pt idx="98">
                  <c:v>3.22</c:v>
                </c:pt>
                <c:pt idx="99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9-4CE7-8E60-BBC4764B2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5520"/>
        <c:axId val="6967840"/>
      </c:lineChart>
      <c:catAx>
        <c:axId val="697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840"/>
        <c:crosses val="autoZero"/>
        <c:auto val="1"/>
        <c:lblAlgn val="ctr"/>
        <c:lblOffset val="100"/>
        <c:noMultiLvlLbl val="0"/>
      </c:catAx>
      <c:valAx>
        <c:axId val="69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0"/>
          <c:order val="0"/>
          <c:tx>
            <c:strRef>
              <c:f>'HBA HMA'!$B$13</c:f>
              <c:strCache>
                <c:ptCount val="1"/>
                <c:pt idx="0">
                  <c:v>Bijih Besi Laterit/Hematit/Magnetit (USD/dmt)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HMA'!$C$13:$CX$13</c:f>
              <c:numCache>
                <c:formatCode>General</c:formatCode>
                <c:ptCount val="100"/>
                <c:pt idx="0">
                  <c:v>0.88</c:v>
                </c:pt>
                <c:pt idx="1">
                  <c:v>0.86</c:v>
                </c:pt>
                <c:pt idx="2">
                  <c:v>0.83</c:v>
                </c:pt>
                <c:pt idx="3">
                  <c:v>0.93</c:v>
                </c:pt>
                <c:pt idx="4">
                  <c:v>0.92</c:v>
                </c:pt>
                <c:pt idx="5">
                  <c:v>0.92</c:v>
                </c:pt>
                <c:pt idx="6">
                  <c:v>0.77</c:v>
                </c:pt>
                <c:pt idx="7">
                  <c:v>0.78</c:v>
                </c:pt>
                <c:pt idx="8">
                  <c:v>0.76</c:v>
                </c:pt>
                <c:pt idx="9">
                  <c:v>0.75</c:v>
                </c:pt>
                <c:pt idx="10">
                  <c:v>0.77</c:v>
                </c:pt>
                <c:pt idx="11">
                  <c:v>0.79</c:v>
                </c:pt>
                <c:pt idx="12">
                  <c:v>0.82</c:v>
                </c:pt>
                <c:pt idx="13">
                  <c:v>0.87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  <c:pt idx="17">
                  <c:v>0.88</c:v>
                </c:pt>
                <c:pt idx="18">
                  <c:v>0.88</c:v>
                </c:pt>
                <c:pt idx="19">
                  <c:v>1.32</c:v>
                </c:pt>
                <c:pt idx="20">
                  <c:v>1.49</c:v>
                </c:pt>
                <c:pt idx="21">
                  <c:v>1.76</c:v>
                </c:pt>
                <c:pt idx="22">
                  <c:v>1.58</c:v>
                </c:pt>
                <c:pt idx="23">
                  <c:v>1.28</c:v>
                </c:pt>
                <c:pt idx="24">
                  <c:v>1.31</c:v>
                </c:pt>
                <c:pt idx="25">
                  <c:v>1.19</c:v>
                </c:pt>
                <c:pt idx="26">
                  <c:v>1.28</c:v>
                </c:pt>
                <c:pt idx="27">
                  <c:v>1.34</c:v>
                </c:pt>
                <c:pt idx="28">
                  <c:v>1.28</c:v>
                </c:pt>
                <c:pt idx="29">
                  <c:v>1.28</c:v>
                </c:pt>
                <c:pt idx="30">
                  <c:v>1.21</c:v>
                </c:pt>
                <c:pt idx="31">
                  <c:v>1.23</c:v>
                </c:pt>
                <c:pt idx="32">
                  <c:v>1.46</c:v>
                </c:pt>
                <c:pt idx="33">
                  <c:v>1.53</c:v>
                </c:pt>
                <c:pt idx="34">
                  <c:v>1.7</c:v>
                </c:pt>
                <c:pt idx="35">
                  <c:v>1.88</c:v>
                </c:pt>
                <c:pt idx="36">
                  <c:v>1.76</c:v>
                </c:pt>
                <c:pt idx="37">
                  <c:v>1.77</c:v>
                </c:pt>
                <c:pt idx="38">
                  <c:v>2.11</c:v>
                </c:pt>
                <c:pt idx="39">
                  <c:v>2.52</c:v>
                </c:pt>
                <c:pt idx="40">
                  <c:v>2.46</c:v>
                </c:pt>
                <c:pt idx="41">
                  <c:v>2.59</c:v>
                </c:pt>
                <c:pt idx="42">
                  <c:v>2.54</c:v>
                </c:pt>
                <c:pt idx="43">
                  <c:v>3.06</c:v>
                </c:pt>
                <c:pt idx="44">
                  <c:v>3.15</c:v>
                </c:pt>
                <c:pt idx="45">
                  <c:v>3.35</c:v>
                </c:pt>
                <c:pt idx="46">
                  <c:v>2.82</c:v>
                </c:pt>
                <c:pt idx="47">
                  <c:v>2.06</c:v>
                </c:pt>
                <c:pt idx="48">
                  <c:v>1.69</c:v>
                </c:pt>
                <c:pt idx="49">
                  <c:v>1.53</c:v>
                </c:pt>
                <c:pt idx="50">
                  <c:v>1.48</c:v>
                </c:pt>
                <c:pt idx="51">
                  <c:v>1.83</c:v>
                </c:pt>
                <c:pt idx="52">
                  <c:v>2.11</c:v>
                </c:pt>
                <c:pt idx="53">
                  <c:v>2.1800000000000002</c:v>
                </c:pt>
                <c:pt idx="54">
                  <c:v>2.31</c:v>
                </c:pt>
                <c:pt idx="55">
                  <c:v>2.09</c:v>
                </c:pt>
                <c:pt idx="56">
                  <c:v>2.0299999999999998</c:v>
                </c:pt>
                <c:pt idx="57">
                  <c:v>1.68</c:v>
                </c:pt>
                <c:pt idx="58">
                  <c:v>1.54</c:v>
                </c:pt>
                <c:pt idx="59">
                  <c:v>1.45</c:v>
                </c:pt>
                <c:pt idx="60">
                  <c:v>1.39</c:v>
                </c:pt>
                <c:pt idx="61">
                  <c:v>1.27</c:v>
                </c:pt>
                <c:pt idx="62">
                  <c:v>1.52</c:v>
                </c:pt>
                <c:pt idx="63">
                  <c:v>1.73</c:v>
                </c:pt>
                <c:pt idx="64">
                  <c:v>1.86</c:v>
                </c:pt>
                <c:pt idx="65">
                  <c:v>1.91</c:v>
                </c:pt>
                <c:pt idx="66">
                  <c:v>1.81</c:v>
                </c:pt>
                <c:pt idx="67">
                  <c:v>1.57</c:v>
                </c:pt>
                <c:pt idx="68">
                  <c:v>1.57</c:v>
                </c:pt>
                <c:pt idx="69">
                  <c:v>1.64</c:v>
                </c:pt>
                <c:pt idx="70">
                  <c:v>1.6</c:v>
                </c:pt>
                <c:pt idx="71">
                  <c:v>1.72</c:v>
                </c:pt>
                <c:pt idx="72">
                  <c:v>1.77</c:v>
                </c:pt>
                <c:pt idx="73">
                  <c:v>1.85</c:v>
                </c:pt>
                <c:pt idx="74">
                  <c:v>2</c:v>
                </c:pt>
                <c:pt idx="75">
                  <c:v>2.04</c:v>
                </c:pt>
                <c:pt idx="76">
                  <c:v>1.96</c:v>
                </c:pt>
                <c:pt idx="77">
                  <c:v>1.71</c:v>
                </c:pt>
                <c:pt idx="78">
                  <c:v>1.55</c:v>
                </c:pt>
                <c:pt idx="79">
                  <c:v>1.72</c:v>
                </c:pt>
                <c:pt idx="80">
                  <c:v>1.66</c:v>
                </c:pt>
                <c:pt idx="81">
                  <c:v>1.57</c:v>
                </c:pt>
                <c:pt idx="82">
                  <c:v>1.45</c:v>
                </c:pt>
                <c:pt idx="83">
                  <c:v>1.36</c:v>
                </c:pt>
                <c:pt idx="84">
                  <c:v>1.45</c:v>
                </c:pt>
                <c:pt idx="85">
                  <c:v>1.48</c:v>
                </c:pt>
                <c:pt idx="86">
                  <c:v>1.52</c:v>
                </c:pt>
                <c:pt idx="87">
                  <c:v>1.44</c:v>
                </c:pt>
                <c:pt idx="88">
                  <c:v>1.57</c:v>
                </c:pt>
                <c:pt idx="89">
                  <c:v>1.54</c:v>
                </c:pt>
                <c:pt idx="90">
                  <c:v>1.48</c:v>
                </c:pt>
                <c:pt idx="91">
                  <c:v>1.49</c:v>
                </c:pt>
                <c:pt idx="92">
                  <c:v>1.43</c:v>
                </c:pt>
                <c:pt idx="93">
                  <c:v>1.44</c:v>
                </c:pt>
                <c:pt idx="94">
                  <c:v>1.45</c:v>
                </c:pt>
                <c:pt idx="95">
                  <c:v>1.42</c:v>
                </c:pt>
                <c:pt idx="96">
                  <c:v>1.36</c:v>
                </c:pt>
                <c:pt idx="97">
                  <c:v>1.35</c:v>
                </c:pt>
                <c:pt idx="98">
                  <c:v>1.44</c:v>
                </c:pt>
                <c:pt idx="99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2-4AB8-B0D7-C2136B1F1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801392"/>
        <c:axId val="689803792"/>
      </c:lineChart>
      <c:catAx>
        <c:axId val="6898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03792"/>
        <c:crosses val="autoZero"/>
        <c:auto val="1"/>
        <c:lblAlgn val="ctr"/>
        <c:lblOffset val="100"/>
        <c:noMultiLvlLbl val="0"/>
      </c:catAx>
      <c:valAx>
        <c:axId val="6898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0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1"/>
          <c:order val="0"/>
          <c:tx>
            <c:strRef>
              <c:f>'HBA HMA'!$B$14</c:f>
              <c:strCache>
                <c:ptCount val="1"/>
                <c:pt idx="0">
                  <c:v>Bijih Krom (USD/dmt)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HMA'!$C$14:$CX$14</c:f>
              <c:numCache>
                <c:formatCode>General</c:formatCode>
                <c:ptCount val="100"/>
                <c:pt idx="0">
                  <c:v>5.14</c:v>
                </c:pt>
                <c:pt idx="1">
                  <c:v>3.71</c:v>
                </c:pt>
                <c:pt idx="2">
                  <c:v>3.27</c:v>
                </c:pt>
                <c:pt idx="3">
                  <c:v>3.46</c:v>
                </c:pt>
                <c:pt idx="4">
                  <c:v>4.1399999999999997</c:v>
                </c:pt>
                <c:pt idx="5">
                  <c:v>4.41</c:v>
                </c:pt>
                <c:pt idx="6">
                  <c:v>4.3899999999999997</c:v>
                </c:pt>
                <c:pt idx="7">
                  <c:v>4.08</c:v>
                </c:pt>
                <c:pt idx="8">
                  <c:v>3.85</c:v>
                </c:pt>
                <c:pt idx="9">
                  <c:v>3.87</c:v>
                </c:pt>
                <c:pt idx="10">
                  <c:v>3.53</c:v>
                </c:pt>
                <c:pt idx="11">
                  <c:v>3.41</c:v>
                </c:pt>
                <c:pt idx="12">
                  <c:v>3.68</c:v>
                </c:pt>
                <c:pt idx="13">
                  <c:v>3.87</c:v>
                </c:pt>
                <c:pt idx="14">
                  <c:v>4.22</c:v>
                </c:pt>
                <c:pt idx="15">
                  <c:v>4.16</c:v>
                </c:pt>
                <c:pt idx="16">
                  <c:v>4.17</c:v>
                </c:pt>
                <c:pt idx="17">
                  <c:v>4.49</c:v>
                </c:pt>
                <c:pt idx="18">
                  <c:v>4.08</c:v>
                </c:pt>
                <c:pt idx="19">
                  <c:v>3.97</c:v>
                </c:pt>
                <c:pt idx="20">
                  <c:v>3.83</c:v>
                </c:pt>
                <c:pt idx="21">
                  <c:v>3.22</c:v>
                </c:pt>
                <c:pt idx="22">
                  <c:v>2.85</c:v>
                </c:pt>
                <c:pt idx="23">
                  <c:v>2.83</c:v>
                </c:pt>
                <c:pt idx="24">
                  <c:v>2.86</c:v>
                </c:pt>
                <c:pt idx="25">
                  <c:v>2.71</c:v>
                </c:pt>
                <c:pt idx="26">
                  <c:v>2.5099999999999998</c:v>
                </c:pt>
                <c:pt idx="27">
                  <c:v>2.5099999999999998</c:v>
                </c:pt>
                <c:pt idx="28">
                  <c:v>2.56</c:v>
                </c:pt>
                <c:pt idx="29">
                  <c:v>2.4500000000000002</c:v>
                </c:pt>
                <c:pt idx="30">
                  <c:v>2.1800000000000002</c:v>
                </c:pt>
                <c:pt idx="31">
                  <c:v>2.4300000000000002</c:v>
                </c:pt>
                <c:pt idx="32">
                  <c:v>2.65</c:v>
                </c:pt>
                <c:pt idx="33">
                  <c:v>2.57</c:v>
                </c:pt>
                <c:pt idx="34">
                  <c:v>2.2000000000000002</c:v>
                </c:pt>
                <c:pt idx="35">
                  <c:v>2.25</c:v>
                </c:pt>
                <c:pt idx="36">
                  <c:v>2.34</c:v>
                </c:pt>
                <c:pt idx="37">
                  <c:v>2.2999999999999998</c:v>
                </c:pt>
                <c:pt idx="38">
                  <c:v>2.2799999999999998</c:v>
                </c:pt>
                <c:pt idx="39">
                  <c:v>2.42</c:v>
                </c:pt>
                <c:pt idx="40">
                  <c:v>2.89</c:v>
                </c:pt>
                <c:pt idx="41">
                  <c:v>3.53</c:v>
                </c:pt>
                <c:pt idx="42">
                  <c:v>3.48</c:v>
                </c:pt>
                <c:pt idx="43">
                  <c:v>3.24</c:v>
                </c:pt>
                <c:pt idx="44">
                  <c:v>3.28</c:v>
                </c:pt>
                <c:pt idx="45">
                  <c:v>3.39</c:v>
                </c:pt>
                <c:pt idx="46">
                  <c:v>3.39</c:v>
                </c:pt>
                <c:pt idx="47">
                  <c:v>3.39</c:v>
                </c:pt>
                <c:pt idx="48">
                  <c:v>3.39</c:v>
                </c:pt>
                <c:pt idx="49">
                  <c:v>3.39</c:v>
                </c:pt>
                <c:pt idx="50">
                  <c:v>3.39</c:v>
                </c:pt>
                <c:pt idx="51">
                  <c:v>3.39</c:v>
                </c:pt>
                <c:pt idx="52">
                  <c:v>3.45</c:v>
                </c:pt>
                <c:pt idx="53">
                  <c:v>4.17</c:v>
                </c:pt>
                <c:pt idx="54">
                  <c:v>4.6500000000000004</c:v>
                </c:pt>
                <c:pt idx="55">
                  <c:v>5.76</c:v>
                </c:pt>
                <c:pt idx="56">
                  <c:v>5.89</c:v>
                </c:pt>
                <c:pt idx="57">
                  <c:v>5.65</c:v>
                </c:pt>
                <c:pt idx="58">
                  <c:v>4.62</c:v>
                </c:pt>
                <c:pt idx="59">
                  <c:v>3.74</c:v>
                </c:pt>
                <c:pt idx="60">
                  <c:v>3.84</c:v>
                </c:pt>
                <c:pt idx="61">
                  <c:v>4.04</c:v>
                </c:pt>
                <c:pt idx="62">
                  <c:v>3.92</c:v>
                </c:pt>
                <c:pt idx="63">
                  <c:v>4.3499999999999996</c:v>
                </c:pt>
                <c:pt idx="64">
                  <c:v>5.03</c:v>
                </c:pt>
                <c:pt idx="65">
                  <c:v>5.18</c:v>
                </c:pt>
                <c:pt idx="66">
                  <c:v>5.08</c:v>
                </c:pt>
                <c:pt idx="67">
                  <c:v>5.29</c:v>
                </c:pt>
                <c:pt idx="68">
                  <c:v>5.9</c:v>
                </c:pt>
                <c:pt idx="69">
                  <c:v>6.13</c:v>
                </c:pt>
                <c:pt idx="70">
                  <c:v>6.1</c:v>
                </c:pt>
                <c:pt idx="71">
                  <c:v>6.21</c:v>
                </c:pt>
                <c:pt idx="72">
                  <c:v>6.37</c:v>
                </c:pt>
                <c:pt idx="73">
                  <c:v>6.35</c:v>
                </c:pt>
                <c:pt idx="74">
                  <c:v>6.32</c:v>
                </c:pt>
                <c:pt idx="75">
                  <c:v>6.37</c:v>
                </c:pt>
                <c:pt idx="76">
                  <c:v>6.37</c:v>
                </c:pt>
                <c:pt idx="77">
                  <c:v>6.37</c:v>
                </c:pt>
                <c:pt idx="78">
                  <c:v>6.37</c:v>
                </c:pt>
                <c:pt idx="79">
                  <c:v>6.37</c:v>
                </c:pt>
                <c:pt idx="80">
                  <c:v>6.37</c:v>
                </c:pt>
                <c:pt idx="81">
                  <c:v>6.37</c:v>
                </c:pt>
                <c:pt idx="82">
                  <c:v>6.37</c:v>
                </c:pt>
                <c:pt idx="83">
                  <c:v>6.37</c:v>
                </c:pt>
                <c:pt idx="84">
                  <c:v>6.37</c:v>
                </c:pt>
                <c:pt idx="85">
                  <c:v>6.37</c:v>
                </c:pt>
                <c:pt idx="86">
                  <c:v>6.37</c:v>
                </c:pt>
                <c:pt idx="87">
                  <c:v>6.37</c:v>
                </c:pt>
                <c:pt idx="88">
                  <c:v>6.37</c:v>
                </c:pt>
                <c:pt idx="89">
                  <c:v>6.37</c:v>
                </c:pt>
                <c:pt idx="90">
                  <c:v>6.37</c:v>
                </c:pt>
                <c:pt idx="91">
                  <c:v>6.37</c:v>
                </c:pt>
                <c:pt idx="92">
                  <c:v>6.37</c:v>
                </c:pt>
                <c:pt idx="93">
                  <c:v>6.37</c:v>
                </c:pt>
                <c:pt idx="94">
                  <c:v>6.37</c:v>
                </c:pt>
                <c:pt idx="95">
                  <c:v>6.37</c:v>
                </c:pt>
                <c:pt idx="96">
                  <c:v>6.37</c:v>
                </c:pt>
                <c:pt idx="97">
                  <c:v>6.37</c:v>
                </c:pt>
                <c:pt idx="98">
                  <c:v>6.37</c:v>
                </c:pt>
                <c:pt idx="99">
                  <c:v>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0-4200-BD85-B67B980CD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1680"/>
        <c:axId val="6973120"/>
      </c:lineChart>
      <c:catAx>
        <c:axId val="69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120"/>
        <c:crosses val="autoZero"/>
        <c:auto val="1"/>
        <c:lblAlgn val="ctr"/>
        <c:lblOffset val="100"/>
        <c:noMultiLvlLbl val="0"/>
      </c:catAx>
      <c:valAx>
        <c:axId val="69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2"/>
          <c:order val="0"/>
          <c:tx>
            <c:strRef>
              <c:f>'HBA HMA'!$B$15</c:f>
              <c:strCache>
                <c:ptCount val="1"/>
                <c:pt idx="0">
                  <c:v>Konsentrat Titanium (USD/dmt)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'HBA HMA'!$C$2:$CX$2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'HBA HMA'!$C$15:$CX$15</c:f>
              <c:numCache>
                <c:formatCode>General</c:formatCode>
                <c:ptCount val="100"/>
                <c:pt idx="0">
                  <c:v>10.38</c:v>
                </c:pt>
                <c:pt idx="1">
                  <c:v>10.46</c:v>
                </c:pt>
                <c:pt idx="2">
                  <c:v>10.54</c:v>
                </c:pt>
                <c:pt idx="3">
                  <c:v>10.59</c:v>
                </c:pt>
                <c:pt idx="4">
                  <c:v>10.81</c:v>
                </c:pt>
                <c:pt idx="5">
                  <c:v>10.79</c:v>
                </c:pt>
                <c:pt idx="6">
                  <c:v>10.83</c:v>
                </c:pt>
                <c:pt idx="7">
                  <c:v>10.61</c:v>
                </c:pt>
                <c:pt idx="8">
                  <c:v>10.3</c:v>
                </c:pt>
                <c:pt idx="9">
                  <c:v>9.85</c:v>
                </c:pt>
                <c:pt idx="10">
                  <c:v>9.51</c:v>
                </c:pt>
                <c:pt idx="11">
                  <c:v>9.48</c:v>
                </c:pt>
                <c:pt idx="12">
                  <c:v>9.3800000000000008</c:v>
                </c:pt>
                <c:pt idx="13">
                  <c:v>9.31</c:v>
                </c:pt>
                <c:pt idx="14">
                  <c:v>9.32</c:v>
                </c:pt>
                <c:pt idx="15">
                  <c:v>9.35</c:v>
                </c:pt>
                <c:pt idx="16">
                  <c:v>9.42</c:v>
                </c:pt>
                <c:pt idx="17">
                  <c:v>9.4499999999999993</c:v>
                </c:pt>
                <c:pt idx="18">
                  <c:v>9.49</c:v>
                </c:pt>
                <c:pt idx="19">
                  <c:v>9.51</c:v>
                </c:pt>
                <c:pt idx="20">
                  <c:v>9.5399999999999991</c:v>
                </c:pt>
                <c:pt idx="21">
                  <c:v>9.7799999999999994</c:v>
                </c:pt>
                <c:pt idx="22">
                  <c:v>9.9700000000000006</c:v>
                </c:pt>
                <c:pt idx="23">
                  <c:v>9.76</c:v>
                </c:pt>
                <c:pt idx="24">
                  <c:v>10.17</c:v>
                </c:pt>
                <c:pt idx="25">
                  <c:v>10.45</c:v>
                </c:pt>
                <c:pt idx="26">
                  <c:v>10.67</c:v>
                </c:pt>
                <c:pt idx="27">
                  <c:v>10.84</c:v>
                </c:pt>
                <c:pt idx="28">
                  <c:v>10.52</c:v>
                </c:pt>
                <c:pt idx="29">
                  <c:v>10.52</c:v>
                </c:pt>
                <c:pt idx="30">
                  <c:v>10.28</c:v>
                </c:pt>
                <c:pt idx="31">
                  <c:v>9.94</c:v>
                </c:pt>
                <c:pt idx="32">
                  <c:v>9.6999999999999993</c:v>
                </c:pt>
                <c:pt idx="33">
                  <c:v>9.3800000000000008</c:v>
                </c:pt>
                <c:pt idx="34">
                  <c:v>9.06</c:v>
                </c:pt>
                <c:pt idx="35">
                  <c:v>9.0500000000000007</c:v>
                </c:pt>
                <c:pt idx="36">
                  <c:v>8.98</c:v>
                </c:pt>
                <c:pt idx="37">
                  <c:v>8.98</c:v>
                </c:pt>
                <c:pt idx="38">
                  <c:v>9.24</c:v>
                </c:pt>
                <c:pt idx="39">
                  <c:v>9.8000000000000007</c:v>
                </c:pt>
                <c:pt idx="40">
                  <c:v>11.1</c:v>
                </c:pt>
                <c:pt idx="41">
                  <c:v>11.52</c:v>
                </c:pt>
                <c:pt idx="42">
                  <c:v>11.88</c:v>
                </c:pt>
                <c:pt idx="43">
                  <c:v>12.68</c:v>
                </c:pt>
                <c:pt idx="44">
                  <c:v>13.18</c:v>
                </c:pt>
                <c:pt idx="45">
                  <c:v>13.19</c:v>
                </c:pt>
                <c:pt idx="46">
                  <c:v>13.08</c:v>
                </c:pt>
                <c:pt idx="47">
                  <c:v>13.15</c:v>
                </c:pt>
                <c:pt idx="48">
                  <c:v>13.42</c:v>
                </c:pt>
                <c:pt idx="49">
                  <c:v>14.25</c:v>
                </c:pt>
                <c:pt idx="50">
                  <c:v>15.42</c:v>
                </c:pt>
                <c:pt idx="51">
                  <c:v>15.6</c:v>
                </c:pt>
                <c:pt idx="52">
                  <c:v>15.78</c:v>
                </c:pt>
                <c:pt idx="53">
                  <c:v>16.12</c:v>
                </c:pt>
                <c:pt idx="54">
                  <c:v>16.47</c:v>
                </c:pt>
                <c:pt idx="55">
                  <c:v>16.829999999999998</c:v>
                </c:pt>
                <c:pt idx="56">
                  <c:v>17.27</c:v>
                </c:pt>
                <c:pt idx="57">
                  <c:v>17.16</c:v>
                </c:pt>
                <c:pt idx="58">
                  <c:v>16.22</c:v>
                </c:pt>
                <c:pt idx="59">
                  <c:v>15.33</c:v>
                </c:pt>
                <c:pt idx="60">
                  <c:v>14.32</c:v>
                </c:pt>
                <c:pt idx="61">
                  <c:v>14.09</c:v>
                </c:pt>
                <c:pt idx="62">
                  <c:v>14.2</c:v>
                </c:pt>
                <c:pt idx="63">
                  <c:v>14.74</c:v>
                </c:pt>
                <c:pt idx="64">
                  <c:v>14.73</c:v>
                </c:pt>
                <c:pt idx="65">
                  <c:v>14.73</c:v>
                </c:pt>
                <c:pt idx="66">
                  <c:v>14.86</c:v>
                </c:pt>
                <c:pt idx="67">
                  <c:v>14.9</c:v>
                </c:pt>
                <c:pt idx="68">
                  <c:v>13.66</c:v>
                </c:pt>
                <c:pt idx="69">
                  <c:v>12.79</c:v>
                </c:pt>
                <c:pt idx="70">
                  <c:v>12.66</c:v>
                </c:pt>
                <c:pt idx="71">
                  <c:v>12.4</c:v>
                </c:pt>
                <c:pt idx="72">
                  <c:v>12.18</c:v>
                </c:pt>
                <c:pt idx="73">
                  <c:v>12.03</c:v>
                </c:pt>
                <c:pt idx="74">
                  <c:v>12.19</c:v>
                </c:pt>
                <c:pt idx="75">
                  <c:v>12.24</c:v>
                </c:pt>
                <c:pt idx="76">
                  <c:v>12.3</c:v>
                </c:pt>
                <c:pt idx="77">
                  <c:v>12.21</c:v>
                </c:pt>
                <c:pt idx="78">
                  <c:v>12.13</c:v>
                </c:pt>
                <c:pt idx="79">
                  <c:v>12.18</c:v>
                </c:pt>
                <c:pt idx="80">
                  <c:v>12.28</c:v>
                </c:pt>
                <c:pt idx="81">
                  <c:v>11.94</c:v>
                </c:pt>
                <c:pt idx="82">
                  <c:v>11.79</c:v>
                </c:pt>
                <c:pt idx="83">
                  <c:v>11.7</c:v>
                </c:pt>
                <c:pt idx="84">
                  <c:v>11.64</c:v>
                </c:pt>
                <c:pt idx="85">
                  <c:v>11.12</c:v>
                </c:pt>
                <c:pt idx="86">
                  <c:v>10.67</c:v>
                </c:pt>
                <c:pt idx="87">
                  <c:v>10.65</c:v>
                </c:pt>
                <c:pt idx="88">
                  <c:v>10.74</c:v>
                </c:pt>
                <c:pt idx="89">
                  <c:v>10.74</c:v>
                </c:pt>
                <c:pt idx="90">
                  <c:v>10.77</c:v>
                </c:pt>
                <c:pt idx="91">
                  <c:v>10.72</c:v>
                </c:pt>
                <c:pt idx="92">
                  <c:v>10.67</c:v>
                </c:pt>
                <c:pt idx="93">
                  <c:v>10.71</c:v>
                </c:pt>
                <c:pt idx="94">
                  <c:v>10.81</c:v>
                </c:pt>
                <c:pt idx="95">
                  <c:v>10.84</c:v>
                </c:pt>
                <c:pt idx="96">
                  <c:v>10.86</c:v>
                </c:pt>
                <c:pt idx="97">
                  <c:v>10.87</c:v>
                </c:pt>
                <c:pt idx="98">
                  <c:v>10.28</c:v>
                </c:pt>
                <c:pt idx="99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9-48BD-AE8E-F2B4A4E5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84144"/>
        <c:axId val="653379824"/>
      </c:lineChart>
      <c:catAx>
        <c:axId val="6533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79824"/>
        <c:crosses val="autoZero"/>
        <c:auto val="1"/>
        <c:lblAlgn val="ctr"/>
        <c:lblOffset val="100"/>
        <c:noMultiLvlLbl val="0"/>
      </c:catAx>
      <c:valAx>
        <c:axId val="6533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8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Risk vs Return Komoditas Tambang (8 Years)</a:t>
            </a:r>
          </a:p>
        </c:rich>
      </c:tx>
      <c:layout>
        <c:manualLayout>
          <c:xMode val="edge"/>
          <c:yMode val="edge"/>
          <c:x val="0.27941941285117106"/>
          <c:y val="3.1704058194138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2806115044388"/>
          <c:y val="0.17414574887702733"/>
          <c:w val="0.83757678339432873"/>
          <c:h val="0.775462170884023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438-48A2-B4AE-854DDC4814B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5">
                    <a:lumMod val="75000"/>
                  </a:schemeClr>
                </a:solidFill>
                <a:ln w="9525">
                  <a:solidFill>
                    <a:schemeClr val="accent5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438-48A2-B4AE-854DDC4814B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438-48A2-B4AE-854DDC4814B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438-48A2-B4AE-854DDC4814B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438-48A2-B4AE-854DDC4814B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FFC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438-48A2-B4AE-854DDC4814B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B050">
                    <a:alpha val="96000"/>
                  </a:srgb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438-48A2-B4AE-854DDC4814B7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438-48A2-B4AE-854DDC4814B7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438-48A2-B4AE-854DDC4814B7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438-48A2-B4AE-854DDC4814B7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438-48A2-B4AE-854DDC4814B7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438-48A2-B4AE-854DDC4814B7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438-48A2-B4AE-854DDC4814B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32374F5-5E2A-4A9F-B00B-443EFADAE8B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438-48A2-B4AE-854DDC4814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3E94BC3-A4B4-4BD5-A303-A3E79994F45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438-48A2-B4AE-854DDC4814B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8EB1374-977C-4811-983C-752D7ABC8CE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438-48A2-B4AE-854DDC4814B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DBE95C-A614-4C99-9664-77405035AB8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438-48A2-B4AE-854DDC4814B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82344F4-F3E7-4D00-9EF1-85E8B71EA06E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438-48A2-B4AE-854DDC4814B7}"/>
                </c:ext>
              </c:extLst>
            </c:dLbl>
            <c:dLbl>
              <c:idx val="5"/>
              <c:layout>
                <c:manualLayout>
                  <c:x val="-7.8144818771081009E-2"/>
                  <c:y val="-3.4426468998524307E-2"/>
                </c:manualLayout>
              </c:layout>
              <c:tx>
                <c:rich>
                  <a:bodyPr/>
                  <a:lstStyle/>
                  <a:p>
                    <a:fld id="{3027DDA3-0423-4F08-A5C2-B618644EA9C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438-48A2-B4AE-854DDC4814B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82F8308-57A9-4F33-9F3D-2AB321EDF8A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438-48A2-B4AE-854DDC4814B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F7CDDCE-4EF5-41C1-BB0F-67C92D0A231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438-48A2-B4AE-854DDC4814B7}"/>
                </c:ext>
              </c:extLst>
            </c:dLbl>
            <c:dLbl>
              <c:idx val="8"/>
              <c:layout>
                <c:manualLayout>
                  <c:x val="-9.672726874466081E-2"/>
                  <c:y val="-3.9381338558391842E-2"/>
                </c:manualLayout>
              </c:layout>
              <c:tx>
                <c:rich>
                  <a:bodyPr/>
                  <a:lstStyle/>
                  <a:p>
                    <a:fld id="{EE5EA7E4-9E1B-46E3-9CF9-0258E196A82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438-48A2-B4AE-854DDC4814B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EF7204A-FB3F-4396-8291-11E61101A66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438-48A2-B4AE-854DDC4814B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5902041-1BC7-4560-A663-0CE0FE7CF8D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438-48A2-B4AE-854DDC4814B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417B09B-1BD3-462A-ADDB-6AF7FB763DC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438-48A2-B4AE-854DDC4814B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E14DFCF-1B6A-41FA-B4F0-E16646FEE1D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438-48A2-B4AE-854DDC4814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'Perhitungan Lengkap'!$DB$3:$DB$15</c:f>
              <c:numCache>
                <c:formatCode>0%</c:formatCode>
                <c:ptCount val="13"/>
                <c:pt idx="0">
                  <c:v>0.56087456461112406</c:v>
                </c:pt>
                <c:pt idx="1">
                  <c:v>0.28548404073784756</c:v>
                </c:pt>
                <c:pt idx="2">
                  <c:v>0.41458405227512307</c:v>
                </c:pt>
                <c:pt idx="3">
                  <c:v>9.364680809185752E-2</c:v>
                </c:pt>
                <c:pt idx="4">
                  <c:v>0.15571551027981781</c:v>
                </c:pt>
                <c:pt idx="5">
                  <c:v>0.17665295301050851</c:v>
                </c:pt>
                <c:pt idx="6">
                  <c:v>0.19060225331153063</c:v>
                </c:pt>
                <c:pt idx="7">
                  <c:v>0.30601282070512037</c:v>
                </c:pt>
                <c:pt idx="8">
                  <c:v>0.2715933885491813</c:v>
                </c:pt>
                <c:pt idx="9">
                  <c:v>0.22164720531979082</c:v>
                </c:pt>
                <c:pt idx="10">
                  <c:v>0.34205547597963054</c:v>
                </c:pt>
                <c:pt idx="11">
                  <c:v>0.32985754890141461</c:v>
                </c:pt>
                <c:pt idx="12">
                  <c:v>0.1848312088397136</c:v>
                </c:pt>
              </c:numCache>
            </c:numRef>
          </c:xVal>
          <c:yVal>
            <c:numRef>
              <c:f>'Perhitungan Lengkap'!$DD$3:$DD$15</c:f>
              <c:numCache>
                <c:formatCode>0%</c:formatCode>
                <c:ptCount val="13"/>
                <c:pt idx="0">
                  <c:v>7.563091871845673E-3</c:v>
                </c:pt>
                <c:pt idx="1">
                  <c:v>4.0757390699468488E-2</c:v>
                </c:pt>
                <c:pt idx="2">
                  <c:v>-7.060914352820169E-2</c:v>
                </c:pt>
                <c:pt idx="3">
                  <c:v>-2.9925911281795337E-2</c:v>
                </c:pt>
                <c:pt idx="4">
                  <c:v>-1.808245768474348E-2</c:v>
                </c:pt>
                <c:pt idx="5">
                  <c:v>2.6143593107297081E-2</c:v>
                </c:pt>
                <c:pt idx="6">
                  <c:v>4.8975758883020859E-2</c:v>
                </c:pt>
                <c:pt idx="7">
                  <c:v>0.12750306539678213</c:v>
                </c:pt>
                <c:pt idx="8">
                  <c:v>0.10613721165897827</c:v>
                </c:pt>
                <c:pt idx="9">
                  <c:v>-4.0451248938750406E-2</c:v>
                </c:pt>
                <c:pt idx="10">
                  <c:v>6.7142411420136661E-2</c:v>
                </c:pt>
                <c:pt idx="11">
                  <c:v>2.7181145722963596E-2</c:v>
                </c:pt>
                <c:pt idx="12">
                  <c:v>-7.5419670144982742E-3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'Perhitungan Lengkap'!$A$3:$A$15</c15:f>
                <c15:dlblRangeCache>
                  <c:ptCount val="13"/>
                  <c:pt idx="0">
                    <c:v>Coal</c:v>
                  </c:pt>
                  <c:pt idx="1">
                    <c:v>Nikel</c:v>
                  </c:pt>
                  <c:pt idx="2">
                    <c:v>Kobalt</c:v>
                  </c:pt>
                  <c:pt idx="3">
                    <c:v>Timbal</c:v>
                  </c:pt>
                  <c:pt idx="4">
                    <c:v>Seng</c:v>
                  </c:pt>
                  <c:pt idx="5">
                    <c:v>Aluminium</c:v>
                  </c:pt>
                  <c:pt idx="6">
                    <c:v>Tembaga</c:v>
                  </c:pt>
                  <c:pt idx="7">
                    <c:v>Emas</c:v>
                  </c:pt>
                  <c:pt idx="8">
                    <c:v>Perak</c:v>
                  </c:pt>
                  <c:pt idx="9">
                    <c:v>Mangan</c:v>
                  </c:pt>
                  <c:pt idx="10">
                    <c:v>Besi</c:v>
                  </c:pt>
                  <c:pt idx="11">
                    <c:v>Krom</c:v>
                  </c:pt>
                  <c:pt idx="12">
                    <c:v>Titanium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438-48A2-B4AE-854DDC4814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38669936"/>
        <c:axId val="1938668976"/>
      </c:scatterChart>
      <c:valAx>
        <c:axId val="193866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8668976"/>
        <c:crosses val="autoZero"/>
        <c:crossBetween val="midCat"/>
      </c:valAx>
      <c:valAx>
        <c:axId val="19386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866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return</a:t>
            </a:r>
            <a:r>
              <a:rPr lang="en-ID" baseline="0"/>
              <a:t> vs risk profile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6D9-43B9-A250-B943D1400BB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7B3B09E-30D4-47EE-A076-986C1B8094A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CCD052D-3BCE-4D64-B78D-D5EEB9912ED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6D9-43B9-A250-B943D1400B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76AB30-9A60-43FD-BF0C-2F61A4C682B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2C9F34C-82D7-4EA1-A951-9C9B9ECEA65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6D9-43B9-A250-B943D1400B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635DB66-4C66-4845-ADB2-A2731475E1F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75E3952-12EE-47A8-B431-BCD5AF644D7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6D9-43B9-A250-B943D1400BBC}"/>
                </c:ext>
              </c:extLst>
            </c:dLbl>
            <c:dLbl>
              <c:idx val="3"/>
              <c:layout>
                <c:manualLayout>
                  <c:x val="-0.14811111111111114"/>
                  <c:y val="-2.2801837270341207E-3"/>
                </c:manualLayout>
              </c:layout>
              <c:tx>
                <c:rich>
                  <a:bodyPr/>
                  <a:lstStyle/>
                  <a:p>
                    <a:fld id="{D1D0E684-0128-4B8A-909D-ED03BBD7DDC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F0C7B83-79E0-4076-BD0B-CFE09902EF6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6D9-43B9-A250-B943D1400B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091CC7-BEF2-4E7C-B40F-A49846BA590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DB1C435-3007-4D4A-B15F-046576C9958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6D9-43B9-A250-B943D1400B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85520C4-99C3-4B04-BB64-AFECEC2BAD8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C263910-EF00-4BE8-8C34-A1CDCFC4AB7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6D9-43B9-A250-B943D1400B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6474856-6984-4439-BDC1-873F7676B30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5FFBEC3-1DF0-4423-AD89-B34A6CCE5C9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6D9-43B9-A250-B943D1400BB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8D30760-D088-47C4-8574-A4E610DAD6B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AC11D48-36FB-4F67-BA3C-18DB2D91100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6D9-43B9-A250-B943D1400BB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319517A-1449-4335-9BDE-7710DC6E873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63FACA0-3790-42F8-B219-3A5CE2891A8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6D9-43B9-A250-B943D1400BB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DE2C625-7862-48AF-BFF5-08359DD9A47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8F23243-0732-4421-BC21-CF057FF5860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6D9-43B9-A250-B943D1400BB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17238BD-F2D2-4D9E-A85A-2E39948206F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6A1C5E3-3A94-4CFE-8862-24F9C022834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6D9-43B9-A250-B943D1400BB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3B986A4-149A-4808-8E8F-298346C95C3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E796343-415E-478E-B520-0C7B5EC4258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6D9-43B9-A250-B943D1400BB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B8DB27E-F3B8-4174-86FE-C771EA62528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A7665E4-908A-476B-93C3-6B261DF2206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6D9-43B9-A250-B943D1400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'Matriks Korelasi'!$BT$5:$BT$17</c:f>
              <c:numCache>
                <c:formatCode>0%</c:formatCode>
                <c:ptCount val="13"/>
                <c:pt idx="0">
                  <c:v>0.38215744806225072</c:v>
                </c:pt>
                <c:pt idx="1">
                  <c:v>0.24721128744779763</c:v>
                </c:pt>
                <c:pt idx="2">
                  <c:v>0.14550811886711321</c:v>
                </c:pt>
                <c:pt idx="3">
                  <c:v>0.10913419815541517</c:v>
                </c:pt>
                <c:pt idx="4">
                  <c:v>0.14453922922126219</c:v>
                </c:pt>
                <c:pt idx="5">
                  <c:v>7.0681535453625086E-2</c:v>
                </c:pt>
                <c:pt idx="6">
                  <c:v>0.50706790168262417</c:v>
                </c:pt>
                <c:pt idx="7">
                  <c:v>0.17395820110509569</c:v>
                </c:pt>
                <c:pt idx="8">
                  <c:v>0.11214321351098852</c:v>
                </c:pt>
                <c:pt idx="9">
                  <c:v>0.25107113920063623</c:v>
                </c:pt>
                <c:pt idx="10">
                  <c:v>0.30489541035133189</c:v>
                </c:pt>
                <c:pt idx="11">
                  <c:v>0.17585979452502087</c:v>
                </c:pt>
                <c:pt idx="12">
                  <c:v>0.23806808341663549</c:v>
                </c:pt>
              </c:numCache>
            </c:numRef>
          </c:xVal>
          <c:yVal>
            <c:numRef>
              <c:f>'Matriks Korelasi'!$BV$5:$BV$17</c:f>
              <c:numCache>
                <c:formatCode>0%</c:formatCode>
                <c:ptCount val="13"/>
                <c:pt idx="0">
                  <c:v>2.8715730748975821E-2</c:v>
                </c:pt>
                <c:pt idx="1">
                  <c:v>2.9349232123298208E-2</c:v>
                </c:pt>
                <c:pt idx="2">
                  <c:v>5.7371268453118685E-2</c:v>
                </c:pt>
                <c:pt idx="3">
                  <c:v>9.5978328196901996E-2</c:v>
                </c:pt>
                <c:pt idx="4">
                  <c:v>0.10155028820047329</c:v>
                </c:pt>
                <c:pt idx="5">
                  <c:v>2.1152127651627772E-2</c:v>
                </c:pt>
                <c:pt idx="6">
                  <c:v>0.15219114469774619</c:v>
                </c:pt>
                <c:pt idx="7">
                  <c:v>1.8493015881265285E-2</c:v>
                </c:pt>
                <c:pt idx="8">
                  <c:v>-8.5344442904696671E-2</c:v>
                </c:pt>
                <c:pt idx="9">
                  <c:v>-1.2051713658030372E-2</c:v>
                </c:pt>
                <c:pt idx="10">
                  <c:v>0.19906095641936461</c:v>
                </c:pt>
                <c:pt idx="11">
                  <c:v>0.15660582308009308</c:v>
                </c:pt>
                <c:pt idx="12">
                  <c:v>0.13401960471751706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'Matriks Korelasi'!$A$5:$A$17</c15:f>
                <c15:dlblRangeCache>
                  <c:ptCount val="13"/>
                  <c:pt idx="0">
                    <c:v>Kobalt</c:v>
                  </c:pt>
                  <c:pt idx="1">
                    <c:v>Nikel</c:v>
                  </c:pt>
                  <c:pt idx="2">
                    <c:v>Seng</c:v>
                  </c:pt>
                  <c:pt idx="3">
                    <c:v>Tembaga</c:v>
                  </c:pt>
                  <c:pt idx="4">
                    <c:v>Aluminium</c:v>
                  </c:pt>
                  <c:pt idx="5">
                    <c:v>Timbal</c:v>
                  </c:pt>
                  <c:pt idx="6">
                    <c:v>Batubara</c:v>
                  </c:pt>
                  <c:pt idx="7">
                    <c:v>Titanium</c:v>
                  </c:pt>
                  <c:pt idx="8">
                    <c:v>Mangan</c:v>
                  </c:pt>
                  <c:pt idx="9">
                    <c:v>Besi</c:v>
                  </c:pt>
                  <c:pt idx="10">
                    <c:v>Krom</c:v>
                  </c:pt>
                  <c:pt idx="11">
                    <c:v>Perak</c:v>
                  </c:pt>
                  <c:pt idx="12">
                    <c:v>Emas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B6D9-43B9-A250-B943D1400B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62966272"/>
        <c:axId val="762959072"/>
      </c:scatterChart>
      <c:valAx>
        <c:axId val="7629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59072"/>
        <c:crosses val="autoZero"/>
        <c:crossBetween val="midCat"/>
      </c:valAx>
      <c:valAx>
        <c:axId val="7629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6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Nikel (USD/dmt)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'Perhitungan Lengkap'!$A$4</c:f>
              <c:strCache>
                <c:ptCount val="1"/>
                <c:pt idx="0">
                  <c:v>Nikel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'Perhitungan Lengkap'!$B$2:$CX$2</c15:sqref>
                  </c15:fullRef>
                </c:ext>
              </c:extLst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'Perhitungan Lengkap'!$B$4:$CX$4</c15:sqref>
                  </c15:fullRef>
                </c:ext>
              </c:extLst>
              <c:f>'Perhitungan Lengkap'!$C$4:$CX$4</c:f>
              <c:numCache>
                <c:formatCode>General</c:formatCode>
                <c:ptCount val="100"/>
                <c:pt idx="0">
                  <c:v>10905.91</c:v>
                </c:pt>
                <c:pt idx="1">
                  <c:v>12091.67</c:v>
                </c:pt>
                <c:pt idx="2">
                  <c:v>11304.55</c:v>
                </c:pt>
                <c:pt idx="3">
                  <c:v>12452.75</c:v>
                </c:pt>
                <c:pt idx="4">
                  <c:v>13444.52</c:v>
                </c:pt>
                <c:pt idx="5">
                  <c:v>13619.25</c:v>
                </c:pt>
                <c:pt idx="6">
                  <c:v>13584.76</c:v>
                </c:pt>
                <c:pt idx="7">
                  <c:v>14102.75</c:v>
                </c:pt>
                <c:pt idx="8">
                  <c:v>15067.86</c:v>
                </c:pt>
                <c:pt idx="9">
                  <c:v>14246.82</c:v>
                </c:pt>
                <c:pt idx="10">
                  <c:v>13509.05</c:v>
                </c:pt>
                <c:pt idx="11">
                  <c:v>12803.41</c:v>
                </c:pt>
                <c:pt idx="12">
                  <c:v>12578.64</c:v>
                </c:pt>
                <c:pt idx="13">
                  <c:v>11695</c:v>
                </c:pt>
                <c:pt idx="14">
                  <c:v>10890.68</c:v>
                </c:pt>
                <c:pt idx="15">
                  <c:v>11046.05</c:v>
                </c:pt>
                <c:pt idx="16">
                  <c:v>12249.32</c:v>
                </c:pt>
                <c:pt idx="17">
                  <c:v>13029.5</c:v>
                </c:pt>
                <c:pt idx="18">
                  <c:v>13000.91</c:v>
                </c:pt>
                <c:pt idx="19">
                  <c:v>12100</c:v>
                </c:pt>
                <c:pt idx="20">
                  <c:v>11874.77</c:v>
                </c:pt>
                <c:pt idx="21">
                  <c:v>12832.73</c:v>
                </c:pt>
                <c:pt idx="22">
                  <c:v>14940</c:v>
                </c:pt>
                <c:pt idx="23">
                  <c:v>17176.82</c:v>
                </c:pt>
                <c:pt idx="24">
                  <c:v>17456.43</c:v>
                </c:pt>
                <c:pt idx="25">
                  <c:v>16107.27</c:v>
                </c:pt>
                <c:pt idx="26">
                  <c:v>13875.68</c:v>
                </c:pt>
                <c:pt idx="27">
                  <c:v>14029.72</c:v>
                </c:pt>
                <c:pt idx="28">
                  <c:v>12994.57</c:v>
                </c:pt>
                <c:pt idx="29">
                  <c:v>12301.19</c:v>
                </c:pt>
                <c:pt idx="30">
                  <c:v>11347.68</c:v>
                </c:pt>
                <c:pt idx="31">
                  <c:v>12085.1</c:v>
                </c:pt>
                <c:pt idx="32">
                  <c:v>12595.68</c:v>
                </c:pt>
                <c:pt idx="33">
                  <c:v>13004.6</c:v>
                </c:pt>
                <c:pt idx="34">
                  <c:v>13921.87</c:v>
                </c:pt>
                <c:pt idx="35">
                  <c:v>15059.57</c:v>
                </c:pt>
                <c:pt idx="36">
                  <c:v>14732.1</c:v>
                </c:pt>
                <c:pt idx="37">
                  <c:v>15646.7</c:v>
                </c:pt>
                <c:pt idx="38">
                  <c:v>16541.57</c:v>
                </c:pt>
                <c:pt idx="39">
                  <c:v>17434.05</c:v>
                </c:pt>
                <c:pt idx="40">
                  <c:v>18210.39</c:v>
                </c:pt>
                <c:pt idx="41">
                  <c:v>17251.599999999999</c:v>
                </c:pt>
                <c:pt idx="42">
                  <c:v>16301.95</c:v>
                </c:pt>
                <c:pt idx="43">
                  <c:v>17322.48</c:v>
                </c:pt>
                <c:pt idx="44">
                  <c:v>17650.95</c:v>
                </c:pt>
                <c:pt idx="45">
                  <c:v>18356.86</c:v>
                </c:pt>
                <c:pt idx="46">
                  <c:v>19239.259999999998</c:v>
                </c:pt>
                <c:pt idx="47">
                  <c:v>19499.7</c:v>
                </c:pt>
                <c:pt idx="48">
                  <c:v>18951.82</c:v>
                </c:pt>
                <c:pt idx="49">
                  <c:v>19829.349999999999</c:v>
                </c:pt>
                <c:pt idx="50">
                  <c:v>20189.75</c:v>
                </c:pt>
                <c:pt idx="51">
                  <c:v>21113.75</c:v>
                </c:pt>
                <c:pt idx="52">
                  <c:v>23537.05</c:v>
                </c:pt>
                <c:pt idx="53">
                  <c:v>35995.300000000003</c:v>
                </c:pt>
                <c:pt idx="54">
                  <c:v>33415.75</c:v>
                </c:pt>
                <c:pt idx="55">
                  <c:v>30048.81</c:v>
                </c:pt>
                <c:pt idx="56">
                  <c:v>27414.47</c:v>
                </c:pt>
                <c:pt idx="57">
                  <c:v>22504.77</c:v>
                </c:pt>
                <c:pt idx="58">
                  <c:v>22059.13</c:v>
                </c:pt>
                <c:pt idx="59">
                  <c:v>22081.25</c:v>
                </c:pt>
                <c:pt idx="60">
                  <c:v>22374.77</c:v>
                </c:pt>
                <c:pt idx="61">
                  <c:v>23907.73</c:v>
                </c:pt>
                <c:pt idx="62">
                  <c:v>27482.62</c:v>
                </c:pt>
                <c:pt idx="63">
                  <c:v>28444.5</c:v>
                </c:pt>
                <c:pt idx="64">
                  <c:v>27860</c:v>
                </c:pt>
                <c:pt idx="65">
                  <c:v>24227</c:v>
                </c:pt>
                <c:pt idx="66">
                  <c:v>23278.57</c:v>
                </c:pt>
                <c:pt idx="67">
                  <c:v>23317</c:v>
                </c:pt>
                <c:pt idx="68">
                  <c:v>21376.75</c:v>
                </c:pt>
                <c:pt idx="69">
                  <c:v>20663.86</c:v>
                </c:pt>
                <c:pt idx="70">
                  <c:v>20827.73</c:v>
                </c:pt>
                <c:pt idx="71">
                  <c:v>20190</c:v>
                </c:pt>
                <c:pt idx="72">
                  <c:v>18563.64</c:v>
                </c:pt>
                <c:pt idx="73">
                  <c:v>17653.330000000002</c:v>
                </c:pt>
                <c:pt idx="74">
                  <c:v>16368.86</c:v>
                </c:pt>
                <c:pt idx="75">
                  <c:v>16151</c:v>
                </c:pt>
                <c:pt idx="76">
                  <c:v>16021.67</c:v>
                </c:pt>
                <c:pt idx="77">
                  <c:v>17424.52</c:v>
                </c:pt>
                <c:pt idx="78">
                  <c:v>17472.38</c:v>
                </c:pt>
                <c:pt idx="79">
                  <c:v>18962.11</c:v>
                </c:pt>
                <c:pt idx="80">
                  <c:v>18823.86</c:v>
                </c:pt>
                <c:pt idx="81">
                  <c:v>16812.73</c:v>
                </c:pt>
                <c:pt idx="82">
                  <c:v>15908.1</c:v>
                </c:pt>
                <c:pt idx="83">
                  <c:v>16175.23</c:v>
                </c:pt>
                <c:pt idx="84">
                  <c:v>17072.14</c:v>
                </c:pt>
                <c:pt idx="85">
                  <c:v>15822.95</c:v>
                </c:pt>
                <c:pt idx="86">
                  <c:v>15660</c:v>
                </c:pt>
                <c:pt idx="87">
                  <c:v>15276.11</c:v>
                </c:pt>
                <c:pt idx="88">
                  <c:v>15276.33</c:v>
                </c:pt>
                <c:pt idx="89">
                  <c:v>15534.62</c:v>
                </c:pt>
                <c:pt idx="90">
                  <c:v>16126.33</c:v>
                </c:pt>
                <c:pt idx="91">
                  <c:v>15539.69</c:v>
                </c:pt>
                <c:pt idx="92">
                  <c:v>15049.23</c:v>
                </c:pt>
                <c:pt idx="93">
                  <c:v>15415</c:v>
                </c:pt>
                <c:pt idx="94">
                  <c:v>15405</c:v>
                </c:pt>
                <c:pt idx="95">
                  <c:v>15221</c:v>
                </c:pt>
                <c:pt idx="96">
                  <c:v>14942.67</c:v>
                </c:pt>
                <c:pt idx="97">
                  <c:v>14926</c:v>
                </c:pt>
                <c:pt idx="98">
                  <c:v>15028.33</c:v>
                </c:pt>
                <c:pt idx="99">
                  <c:v>15012.67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09-482A-BBE0-E57AFFB7C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184704"/>
        <c:axId val="1039177984"/>
      </c:lineChart>
      <c:catAx>
        <c:axId val="10391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77984"/>
        <c:crosses val="autoZero"/>
        <c:auto val="1"/>
        <c:lblAlgn val="ctr"/>
        <c:lblOffset val="100"/>
        <c:noMultiLvlLbl val="0"/>
      </c:catAx>
      <c:valAx>
        <c:axId val="10391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Kobalt (USD/dmt)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'Perhitungan Lengkap'!$A$5</c:f>
              <c:strCache>
                <c:ptCount val="1"/>
                <c:pt idx="0">
                  <c:v>Kobalt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'Perhitungan Lengkap'!$B$2:$CX$2</c15:sqref>
                  </c15:fullRef>
                </c:ext>
              </c:extLst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'Perhitungan Lengkap'!$B$5:$CX$5</c15:sqref>
                  </c15:fullRef>
                </c:ext>
              </c:extLst>
              <c:f>'Perhitungan Lengkap'!$C$5:$CX$5</c:f>
              <c:numCache>
                <c:formatCode>General</c:formatCode>
                <c:ptCount val="100"/>
                <c:pt idx="0">
                  <c:v>59090.91</c:v>
                </c:pt>
                <c:pt idx="1">
                  <c:v>60833.33</c:v>
                </c:pt>
                <c:pt idx="2">
                  <c:v>68304.55</c:v>
                </c:pt>
                <c:pt idx="3">
                  <c:v>76075</c:v>
                </c:pt>
                <c:pt idx="4">
                  <c:v>80797.62</c:v>
                </c:pt>
                <c:pt idx="5">
                  <c:v>83162.5</c:v>
                </c:pt>
                <c:pt idx="6">
                  <c:v>92357.14</c:v>
                </c:pt>
                <c:pt idx="7">
                  <c:v>90062.5</c:v>
                </c:pt>
                <c:pt idx="8">
                  <c:v>86321.43</c:v>
                </c:pt>
                <c:pt idx="9">
                  <c:v>74277.27</c:v>
                </c:pt>
                <c:pt idx="10">
                  <c:v>65385.71</c:v>
                </c:pt>
                <c:pt idx="11">
                  <c:v>63659.09</c:v>
                </c:pt>
                <c:pt idx="12">
                  <c:v>59670.91</c:v>
                </c:pt>
                <c:pt idx="13">
                  <c:v>54916.67</c:v>
                </c:pt>
                <c:pt idx="14">
                  <c:v>55261.36</c:v>
                </c:pt>
                <c:pt idx="15">
                  <c:v>45973.68</c:v>
                </c:pt>
                <c:pt idx="16">
                  <c:v>33818.18</c:v>
                </c:pt>
                <c:pt idx="17">
                  <c:v>32250</c:v>
                </c:pt>
                <c:pt idx="18">
                  <c:v>32320.45</c:v>
                </c:pt>
                <c:pt idx="19">
                  <c:v>34750</c:v>
                </c:pt>
                <c:pt idx="20">
                  <c:v>31386.36</c:v>
                </c:pt>
                <c:pt idx="21">
                  <c:v>28527.27</c:v>
                </c:pt>
                <c:pt idx="22">
                  <c:v>28385.71</c:v>
                </c:pt>
                <c:pt idx="23">
                  <c:v>34363.64</c:v>
                </c:pt>
                <c:pt idx="24">
                  <c:v>36035.71</c:v>
                </c:pt>
                <c:pt idx="25">
                  <c:v>35500</c:v>
                </c:pt>
                <c:pt idx="26">
                  <c:v>34772.730000000003</c:v>
                </c:pt>
                <c:pt idx="27">
                  <c:v>32361.11</c:v>
                </c:pt>
                <c:pt idx="28">
                  <c:v>33326.089999999997</c:v>
                </c:pt>
                <c:pt idx="29">
                  <c:v>31928.57</c:v>
                </c:pt>
                <c:pt idx="30">
                  <c:v>29500</c:v>
                </c:pt>
                <c:pt idx="31">
                  <c:v>29500</c:v>
                </c:pt>
                <c:pt idx="32">
                  <c:v>29372.73</c:v>
                </c:pt>
                <c:pt idx="33">
                  <c:v>28552.5</c:v>
                </c:pt>
                <c:pt idx="34">
                  <c:v>31008.04</c:v>
                </c:pt>
                <c:pt idx="35">
                  <c:v>33150.239999999998</c:v>
                </c:pt>
                <c:pt idx="36">
                  <c:v>33636.67</c:v>
                </c:pt>
                <c:pt idx="37">
                  <c:v>32583.26</c:v>
                </c:pt>
                <c:pt idx="38">
                  <c:v>31886.19</c:v>
                </c:pt>
                <c:pt idx="39">
                  <c:v>34765.53</c:v>
                </c:pt>
                <c:pt idx="40">
                  <c:v>43658.91</c:v>
                </c:pt>
                <c:pt idx="41">
                  <c:v>52486.75</c:v>
                </c:pt>
                <c:pt idx="42">
                  <c:v>50770.53</c:v>
                </c:pt>
                <c:pt idx="43">
                  <c:v>46020.71</c:v>
                </c:pt>
                <c:pt idx="44">
                  <c:v>43199.519999999997</c:v>
                </c:pt>
                <c:pt idx="45">
                  <c:v>49102.14</c:v>
                </c:pt>
                <c:pt idx="46">
                  <c:v>52317.83</c:v>
                </c:pt>
                <c:pt idx="47">
                  <c:v>50793.25</c:v>
                </c:pt>
                <c:pt idx="48">
                  <c:v>53622.73</c:v>
                </c:pt>
                <c:pt idx="49">
                  <c:v>57995.22</c:v>
                </c:pt>
                <c:pt idx="50">
                  <c:v>66505.5</c:v>
                </c:pt>
                <c:pt idx="51">
                  <c:v>70178.5</c:v>
                </c:pt>
                <c:pt idx="52">
                  <c:v>70856.820000000007</c:v>
                </c:pt>
                <c:pt idx="53">
                  <c:v>77743.75</c:v>
                </c:pt>
                <c:pt idx="54">
                  <c:v>81947</c:v>
                </c:pt>
                <c:pt idx="55">
                  <c:v>80382.86</c:v>
                </c:pt>
                <c:pt idx="56">
                  <c:v>73362.89</c:v>
                </c:pt>
                <c:pt idx="57">
                  <c:v>64670.45</c:v>
                </c:pt>
                <c:pt idx="58">
                  <c:v>49133.91</c:v>
                </c:pt>
                <c:pt idx="59">
                  <c:v>51264</c:v>
                </c:pt>
                <c:pt idx="60">
                  <c:v>51510.68</c:v>
                </c:pt>
                <c:pt idx="61">
                  <c:v>51510.45</c:v>
                </c:pt>
                <c:pt idx="62">
                  <c:v>51494.76</c:v>
                </c:pt>
                <c:pt idx="63">
                  <c:v>49931.5</c:v>
                </c:pt>
                <c:pt idx="64">
                  <c:v>42613.81</c:v>
                </c:pt>
                <c:pt idx="65">
                  <c:v>33981.75</c:v>
                </c:pt>
                <c:pt idx="66">
                  <c:v>34228.239999999998</c:v>
                </c:pt>
                <c:pt idx="67">
                  <c:v>34493</c:v>
                </c:pt>
                <c:pt idx="68">
                  <c:v>29965</c:v>
                </c:pt>
                <c:pt idx="69">
                  <c:v>31475</c:v>
                </c:pt>
                <c:pt idx="70">
                  <c:v>32980.449999999997</c:v>
                </c:pt>
                <c:pt idx="71">
                  <c:v>32980.71</c:v>
                </c:pt>
                <c:pt idx="72">
                  <c:v>32980.910000000003</c:v>
                </c:pt>
                <c:pt idx="73">
                  <c:v>32997.379999999997</c:v>
                </c:pt>
                <c:pt idx="74">
                  <c:v>31920</c:v>
                </c:pt>
                <c:pt idx="75">
                  <c:v>28696.25</c:v>
                </c:pt>
                <c:pt idx="76">
                  <c:v>28493.81</c:v>
                </c:pt>
                <c:pt idx="77">
                  <c:v>28220</c:v>
                </c:pt>
                <c:pt idx="78">
                  <c:v>28215.95</c:v>
                </c:pt>
                <c:pt idx="79">
                  <c:v>27718.68</c:v>
                </c:pt>
                <c:pt idx="80">
                  <c:v>26980.91</c:v>
                </c:pt>
                <c:pt idx="81">
                  <c:v>26628.41</c:v>
                </c:pt>
                <c:pt idx="82">
                  <c:v>26031.9</c:v>
                </c:pt>
                <c:pt idx="83">
                  <c:v>24105</c:v>
                </c:pt>
                <c:pt idx="84">
                  <c:v>24184.52</c:v>
                </c:pt>
                <c:pt idx="85">
                  <c:v>24275.45</c:v>
                </c:pt>
                <c:pt idx="86">
                  <c:v>24300</c:v>
                </c:pt>
                <c:pt idx="87">
                  <c:v>24300</c:v>
                </c:pt>
                <c:pt idx="88">
                  <c:v>21426</c:v>
                </c:pt>
                <c:pt idx="89">
                  <c:v>22890</c:v>
                </c:pt>
                <c:pt idx="90">
                  <c:v>31390</c:v>
                </c:pt>
                <c:pt idx="91">
                  <c:v>33710.629999999997</c:v>
                </c:pt>
                <c:pt idx="92">
                  <c:v>33274.620000000003</c:v>
                </c:pt>
                <c:pt idx="93">
                  <c:v>33260.769999999997</c:v>
                </c:pt>
                <c:pt idx="94">
                  <c:v>33256.79</c:v>
                </c:pt>
                <c:pt idx="95">
                  <c:v>33235.33</c:v>
                </c:pt>
                <c:pt idx="96">
                  <c:v>32944</c:v>
                </c:pt>
                <c:pt idx="97">
                  <c:v>32896</c:v>
                </c:pt>
                <c:pt idx="98">
                  <c:v>32894.33</c:v>
                </c:pt>
                <c:pt idx="99">
                  <c:v>32893.33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6F-4EE4-A39B-9129A9ACB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151728"/>
        <c:axId val="372150288"/>
      </c:lineChart>
      <c:catAx>
        <c:axId val="37215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150288"/>
        <c:crosses val="autoZero"/>
        <c:auto val="1"/>
        <c:lblAlgn val="ctr"/>
        <c:lblOffset val="100"/>
        <c:noMultiLvlLbl val="0"/>
      </c:catAx>
      <c:valAx>
        <c:axId val="3721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15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'Perhitungan Lengkap'!$B$6</c:f>
              <c:strCache>
                <c:ptCount val="1"/>
                <c:pt idx="0">
                  <c:v>Timbal (USD/dmt)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Lengkap'!$C$6:$CX$6</c:f>
              <c:numCache>
                <c:formatCode>General</c:formatCode>
                <c:ptCount val="100"/>
                <c:pt idx="0">
                  <c:v>2511.66</c:v>
                </c:pt>
                <c:pt idx="1">
                  <c:v>2469.98</c:v>
                </c:pt>
                <c:pt idx="2">
                  <c:v>2489.52</c:v>
                </c:pt>
                <c:pt idx="3">
                  <c:v>2552.0300000000002</c:v>
                </c:pt>
                <c:pt idx="4">
                  <c:v>2602.88</c:v>
                </c:pt>
                <c:pt idx="5">
                  <c:v>2452.0500000000002</c:v>
                </c:pt>
                <c:pt idx="6">
                  <c:v>2372.19</c:v>
                </c:pt>
                <c:pt idx="7">
                  <c:v>2325.25</c:v>
                </c:pt>
                <c:pt idx="8">
                  <c:v>2452.33</c:v>
                </c:pt>
                <c:pt idx="9">
                  <c:v>2312.52</c:v>
                </c:pt>
                <c:pt idx="10">
                  <c:v>2102.4299999999998</c:v>
                </c:pt>
                <c:pt idx="11">
                  <c:v>2040.55</c:v>
                </c:pt>
                <c:pt idx="12">
                  <c:v>1998.07</c:v>
                </c:pt>
                <c:pt idx="13">
                  <c:v>1950.19</c:v>
                </c:pt>
                <c:pt idx="14">
                  <c:v>1948.14</c:v>
                </c:pt>
                <c:pt idx="15">
                  <c:v>1965.18</c:v>
                </c:pt>
                <c:pt idx="16">
                  <c:v>2053.8000000000002</c:v>
                </c:pt>
                <c:pt idx="17">
                  <c:v>2080.6799999999998</c:v>
                </c:pt>
                <c:pt idx="18">
                  <c:v>1977.25</c:v>
                </c:pt>
                <c:pt idx="19">
                  <c:v>1863.53</c:v>
                </c:pt>
                <c:pt idx="20">
                  <c:v>1847.68</c:v>
                </c:pt>
                <c:pt idx="21">
                  <c:v>1929.11</c:v>
                </c:pt>
                <c:pt idx="22">
                  <c:v>2031.07</c:v>
                </c:pt>
                <c:pt idx="23">
                  <c:v>2066.9299999999998</c:v>
                </c:pt>
                <c:pt idx="24">
                  <c:v>2126.2399999999998</c:v>
                </c:pt>
                <c:pt idx="25">
                  <c:v>2145.1999999999998</c:v>
                </c:pt>
                <c:pt idx="26">
                  <c:v>1913.64</c:v>
                </c:pt>
                <c:pt idx="27">
                  <c:v>1920.47</c:v>
                </c:pt>
                <c:pt idx="28">
                  <c:v>1891.33</c:v>
                </c:pt>
                <c:pt idx="29">
                  <c:v>1826.38</c:v>
                </c:pt>
                <c:pt idx="30">
                  <c:v>1666.37</c:v>
                </c:pt>
                <c:pt idx="31">
                  <c:v>1614.79</c:v>
                </c:pt>
                <c:pt idx="32">
                  <c:v>1697.68</c:v>
                </c:pt>
                <c:pt idx="33">
                  <c:v>1793.25</c:v>
                </c:pt>
                <c:pt idx="34">
                  <c:v>1874.8</c:v>
                </c:pt>
                <c:pt idx="35">
                  <c:v>1927.1</c:v>
                </c:pt>
                <c:pt idx="36">
                  <c:v>1799.07</c:v>
                </c:pt>
                <c:pt idx="37">
                  <c:v>1826</c:v>
                </c:pt>
                <c:pt idx="38">
                  <c:v>2044.26</c:v>
                </c:pt>
                <c:pt idx="39">
                  <c:v>1988.58</c:v>
                </c:pt>
                <c:pt idx="40">
                  <c:v>2054.63</c:v>
                </c:pt>
                <c:pt idx="41">
                  <c:v>2011.18</c:v>
                </c:pt>
                <c:pt idx="42">
                  <c:v>1958.34</c:v>
                </c:pt>
                <c:pt idx="43">
                  <c:v>2128.5500000000002</c:v>
                </c:pt>
                <c:pt idx="44">
                  <c:v>2173.67</c:v>
                </c:pt>
                <c:pt idx="45">
                  <c:v>2273.14</c:v>
                </c:pt>
                <c:pt idx="46">
                  <c:v>2402.67</c:v>
                </c:pt>
                <c:pt idx="47">
                  <c:v>2369.8000000000002</c:v>
                </c:pt>
                <c:pt idx="48">
                  <c:v>2232.09</c:v>
                </c:pt>
                <c:pt idx="49">
                  <c:v>2390</c:v>
                </c:pt>
                <c:pt idx="50">
                  <c:v>2300.15</c:v>
                </c:pt>
                <c:pt idx="51">
                  <c:v>2331.65</c:v>
                </c:pt>
                <c:pt idx="52">
                  <c:v>2301.02</c:v>
                </c:pt>
                <c:pt idx="53">
                  <c:v>2363.75</c:v>
                </c:pt>
                <c:pt idx="54">
                  <c:v>2392.1</c:v>
                </c:pt>
                <c:pt idx="55">
                  <c:v>2224.7600000000002</c:v>
                </c:pt>
                <c:pt idx="56">
                  <c:v>2138.9499999999998</c:v>
                </c:pt>
                <c:pt idx="57">
                  <c:v>1966.91</c:v>
                </c:pt>
                <c:pt idx="58">
                  <c:v>2082.87</c:v>
                </c:pt>
                <c:pt idx="59">
                  <c:v>1935.83</c:v>
                </c:pt>
                <c:pt idx="60">
                  <c:v>1943.09</c:v>
                </c:pt>
                <c:pt idx="61">
                  <c:v>2031</c:v>
                </c:pt>
                <c:pt idx="62">
                  <c:v>2156.9</c:v>
                </c:pt>
                <c:pt idx="63">
                  <c:v>2254.7800000000002</c:v>
                </c:pt>
                <c:pt idx="64">
                  <c:v>2115.4</c:v>
                </c:pt>
                <c:pt idx="65">
                  <c:v>2096.1999999999998</c:v>
                </c:pt>
                <c:pt idx="66">
                  <c:v>2143.38</c:v>
                </c:pt>
                <c:pt idx="67">
                  <c:v>2122.1</c:v>
                </c:pt>
                <c:pt idx="68">
                  <c:v>2076.4299999999998</c:v>
                </c:pt>
                <c:pt idx="69">
                  <c:v>2119.39</c:v>
                </c:pt>
                <c:pt idx="70">
                  <c:v>2132.09</c:v>
                </c:pt>
                <c:pt idx="71">
                  <c:v>2246.14</c:v>
                </c:pt>
                <c:pt idx="72">
                  <c:v>2162.1799999999998</c:v>
                </c:pt>
                <c:pt idx="73">
                  <c:v>2166.9299999999998</c:v>
                </c:pt>
                <c:pt idx="74">
                  <c:v>2096.5</c:v>
                </c:pt>
                <c:pt idx="75">
                  <c:v>2046.35</c:v>
                </c:pt>
                <c:pt idx="76">
                  <c:v>2111.6</c:v>
                </c:pt>
                <c:pt idx="77">
                  <c:v>2089.4</c:v>
                </c:pt>
                <c:pt idx="78">
                  <c:v>2071.5500000000002</c:v>
                </c:pt>
                <c:pt idx="79">
                  <c:v>2181.6799999999998</c:v>
                </c:pt>
                <c:pt idx="80">
                  <c:v>2196.0500000000002</c:v>
                </c:pt>
                <c:pt idx="81">
                  <c:v>2154.9299999999998</c:v>
                </c:pt>
                <c:pt idx="82">
                  <c:v>1993.69</c:v>
                </c:pt>
                <c:pt idx="83">
                  <c:v>2008</c:v>
                </c:pt>
                <c:pt idx="84">
                  <c:v>2054.4299999999998</c:v>
                </c:pt>
                <c:pt idx="85">
                  <c:v>1989.41</c:v>
                </c:pt>
                <c:pt idx="86">
                  <c:v>2012.14</c:v>
                </c:pt>
                <c:pt idx="87">
                  <c:v>1927.97</c:v>
                </c:pt>
                <c:pt idx="88">
                  <c:v>1956.43</c:v>
                </c:pt>
                <c:pt idx="89">
                  <c:v>1978.5</c:v>
                </c:pt>
                <c:pt idx="90">
                  <c:v>2041.23</c:v>
                </c:pt>
                <c:pt idx="91">
                  <c:v>1976.31</c:v>
                </c:pt>
                <c:pt idx="92">
                  <c:v>1890.35</c:v>
                </c:pt>
                <c:pt idx="93">
                  <c:v>1939.08</c:v>
                </c:pt>
                <c:pt idx="94">
                  <c:v>1961.68</c:v>
                </c:pt>
                <c:pt idx="95">
                  <c:v>1954.9</c:v>
                </c:pt>
                <c:pt idx="96">
                  <c:v>1966.93</c:v>
                </c:pt>
                <c:pt idx="97">
                  <c:v>2009.27</c:v>
                </c:pt>
                <c:pt idx="98">
                  <c:v>1991.1</c:v>
                </c:pt>
                <c:pt idx="99">
                  <c:v>1969.7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47-40AC-B08B-FAAB3A28A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986304"/>
        <c:axId val="553993504"/>
      </c:lineChart>
      <c:catAx>
        <c:axId val="5539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93504"/>
        <c:crosses val="autoZero"/>
        <c:auto val="1"/>
        <c:lblAlgn val="ctr"/>
        <c:lblOffset val="100"/>
        <c:noMultiLvlLbl val="0"/>
      </c:catAx>
      <c:valAx>
        <c:axId val="5539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'Perhitungan Lengkap'!$B$7</c:f>
              <c:strCache>
                <c:ptCount val="1"/>
                <c:pt idx="0">
                  <c:v>Seng (USD/dmt)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Lengkap'!$C$7:$CX$7</c:f>
              <c:numCache>
                <c:formatCode>General</c:formatCode>
                <c:ptCount val="100"/>
                <c:pt idx="0">
                  <c:v>3239.61</c:v>
                </c:pt>
                <c:pt idx="1">
                  <c:v>3249.17</c:v>
                </c:pt>
                <c:pt idx="2">
                  <c:v>3187.5</c:v>
                </c:pt>
                <c:pt idx="3">
                  <c:v>3363.7</c:v>
                </c:pt>
                <c:pt idx="4">
                  <c:v>3524.83</c:v>
                </c:pt>
                <c:pt idx="5">
                  <c:v>3382.9</c:v>
                </c:pt>
                <c:pt idx="6">
                  <c:v>3222.74</c:v>
                </c:pt>
                <c:pt idx="7">
                  <c:v>3098.3</c:v>
                </c:pt>
                <c:pt idx="8">
                  <c:v>3128.57</c:v>
                </c:pt>
                <c:pt idx="9">
                  <c:v>2782.55</c:v>
                </c:pt>
                <c:pt idx="10">
                  <c:v>2571.38</c:v>
                </c:pt>
                <c:pt idx="11">
                  <c:v>2422.4299999999998</c:v>
                </c:pt>
                <c:pt idx="12">
                  <c:v>2616.9299999999998</c:v>
                </c:pt>
                <c:pt idx="13">
                  <c:v>2624.29</c:v>
                </c:pt>
                <c:pt idx="14">
                  <c:v>2631.95</c:v>
                </c:pt>
                <c:pt idx="15">
                  <c:v>2517.7399999999998</c:v>
                </c:pt>
                <c:pt idx="16">
                  <c:v>2666.93</c:v>
                </c:pt>
                <c:pt idx="17">
                  <c:v>2789.5</c:v>
                </c:pt>
                <c:pt idx="18">
                  <c:v>2940.43</c:v>
                </c:pt>
                <c:pt idx="19">
                  <c:v>2818.39</c:v>
                </c:pt>
                <c:pt idx="20">
                  <c:v>2649.66</c:v>
                </c:pt>
                <c:pt idx="21">
                  <c:v>2487.86</c:v>
                </c:pt>
                <c:pt idx="22">
                  <c:v>2343.71</c:v>
                </c:pt>
                <c:pt idx="23">
                  <c:v>2295.4499999999998</c:v>
                </c:pt>
                <c:pt idx="24">
                  <c:v>2365.19</c:v>
                </c:pt>
                <c:pt idx="25">
                  <c:v>2515.34</c:v>
                </c:pt>
                <c:pt idx="26">
                  <c:v>2284.09</c:v>
                </c:pt>
                <c:pt idx="27">
                  <c:v>2349.64</c:v>
                </c:pt>
                <c:pt idx="28">
                  <c:v>2239.61</c:v>
                </c:pt>
                <c:pt idx="29">
                  <c:v>1978.31</c:v>
                </c:pt>
                <c:pt idx="30">
                  <c:v>1866.11</c:v>
                </c:pt>
                <c:pt idx="31">
                  <c:v>1934.31</c:v>
                </c:pt>
                <c:pt idx="32">
                  <c:v>1997.07</c:v>
                </c:pt>
                <c:pt idx="33">
                  <c:v>2088.7800000000002</c:v>
                </c:pt>
                <c:pt idx="34">
                  <c:v>2310.7399999999998</c:v>
                </c:pt>
                <c:pt idx="35">
                  <c:v>2467.2399999999998</c:v>
                </c:pt>
                <c:pt idx="36">
                  <c:v>2396.2600000000002</c:v>
                </c:pt>
                <c:pt idx="37">
                  <c:v>2585.33</c:v>
                </c:pt>
                <c:pt idx="38">
                  <c:v>2778.95</c:v>
                </c:pt>
                <c:pt idx="39">
                  <c:v>2762.34</c:v>
                </c:pt>
                <c:pt idx="40">
                  <c:v>2680.76</c:v>
                </c:pt>
                <c:pt idx="41">
                  <c:v>2799.25</c:v>
                </c:pt>
                <c:pt idx="42">
                  <c:v>2807.29</c:v>
                </c:pt>
                <c:pt idx="43">
                  <c:v>2920.67</c:v>
                </c:pt>
                <c:pt idx="44">
                  <c:v>2983.55</c:v>
                </c:pt>
                <c:pt idx="45">
                  <c:v>2915.29</c:v>
                </c:pt>
                <c:pt idx="46">
                  <c:v>2915.29</c:v>
                </c:pt>
                <c:pt idx="47">
                  <c:v>3018.13</c:v>
                </c:pt>
                <c:pt idx="48">
                  <c:v>3195.77</c:v>
                </c:pt>
                <c:pt idx="49">
                  <c:v>3360.96</c:v>
                </c:pt>
                <c:pt idx="50">
                  <c:v>3340.45</c:v>
                </c:pt>
                <c:pt idx="51">
                  <c:v>3564.53</c:v>
                </c:pt>
                <c:pt idx="52">
                  <c:v>3648</c:v>
                </c:pt>
                <c:pt idx="53">
                  <c:v>3831.8</c:v>
                </c:pt>
                <c:pt idx="54">
                  <c:v>4240.7299999999996</c:v>
                </c:pt>
                <c:pt idx="55">
                  <c:v>3964.33</c:v>
                </c:pt>
                <c:pt idx="56">
                  <c:v>3772.24</c:v>
                </c:pt>
                <c:pt idx="57">
                  <c:v>3262.23</c:v>
                </c:pt>
                <c:pt idx="58">
                  <c:v>3416.7</c:v>
                </c:pt>
                <c:pt idx="59">
                  <c:v>3342.58</c:v>
                </c:pt>
                <c:pt idx="60">
                  <c:v>2994.16</c:v>
                </c:pt>
                <c:pt idx="61">
                  <c:v>2927.73</c:v>
                </c:pt>
                <c:pt idx="62">
                  <c:v>3082.81</c:v>
                </c:pt>
                <c:pt idx="63">
                  <c:v>3135.63</c:v>
                </c:pt>
                <c:pt idx="64">
                  <c:v>3281.02</c:v>
                </c:pt>
                <c:pt idx="65">
                  <c:v>3014.45</c:v>
                </c:pt>
                <c:pt idx="66">
                  <c:v>2880.95</c:v>
                </c:pt>
                <c:pt idx="67">
                  <c:v>2602.1999999999998</c:v>
                </c:pt>
                <c:pt idx="68">
                  <c:v>2352.35</c:v>
                </c:pt>
                <c:pt idx="69">
                  <c:v>2364.9499999999998</c:v>
                </c:pt>
                <c:pt idx="70">
                  <c:v>2429.0500000000002</c:v>
                </c:pt>
                <c:pt idx="71">
                  <c:v>2427.98</c:v>
                </c:pt>
                <c:pt idx="72">
                  <c:v>2482.27</c:v>
                </c:pt>
                <c:pt idx="73">
                  <c:v>2509.48</c:v>
                </c:pt>
                <c:pt idx="74">
                  <c:v>2486.6799999999998</c:v>
                </c:pt>
                <c:pt idx="75">
                  <c:v>2534.5</c:v>
                </c:pt>
                <c:pt idx="76">
                  <c:v>2433.21</c:v>
                </c:pt>
                <c:pt idx="77">
                  <c:v>2433.9299999999998</c:v>
                </c:pt>
                <c:pt idx="78">
                  <c:v>2596.4</c:v>
                </c:pt>
                <c:pt idx="79">
                  <c:v>2875.42</c:v>
                </c:pt>
                <c:pt idx="80">
                  <c:v>2894.52</c:v>
                </c:pt>
                <c:pt idx="81">
                  <c:v>2861.05</c:v>
                </c:pt>
                <c:pt idx="82">
                  <c:v>2631.62</c:v>
                </c:pt>
                <c:pt idx="83">
                  <c:v>2796.11</c:v>
                </c:pt>
                <c:pt idx="84">
                  <c:v>3040.48</c:v>
                </c:pt>
                <c:pt idx="85">
                  <c:v>3045.48</c:v>
                </c:pt>
                <c:pt idx="86">
                  <c:v>3052.05</c:v>
                </c:pt>
                <c:pt idx="87">
                  <c:v>2896.25</c:v>
                </c:pt>
                <c:pt idx="88">
                  <c:v>2811.47</c:v>
                </c:pt>
                <c:pt idx="89">
                  <c:v>2826.27</c:v>
                </c:pt>
                <c:pt idx="90">
                  <c:v>2902.43</c:v>
                </c:pt>
                <c:pt idx="91">
                  <c:v>2800.34</c:v>
                </c:pt>
                <c:pt idx="92">
                  <c:v>2594.27</c:v>
                </c:pt>
                <c:pt idx="93">
                  <c:v>2595.88</c:v>
                </c:pt>
                <c:pt idx="94">
                  <c:v>2650.29</c:v>
                </c:pt>
                <c:pt idx="95">
                  <c:v>2659.2</c:v>
                </c:pt>
                <c:pt idx="96">
                  <c:v>2627.8</c:v>
                </c:pt>
                <c:pt idx="97">
                  <c:v>2696.83</c:v>
                </c:pt>
                <c:pt idx="98">
                  <c:v>2760.77</c:v>
                </c:pt>
                <c:pt idx="99">
                  <c:v>2799.58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E4-44D4-95EE-A77385056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255472"/>
        <c:axId val="438255952"/>
      </c:lineChart>
      <c:catAx>
        <c:axId val="43825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55952"/>
        <c:crosses val="autoZero"/>
        <c:auto val="1"/>
        <c:lblAlgn val="ctr"/>
        <c:lblOffset val="100"/>
        <c:noMultiLvlLbl val="0"/>
      </c:catAx>
      <c:valAx>
        <c:axId val="4382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5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'Perhitungan Lengkap'!$B$8</c:f>
              <c:strCache>
                <c:ptCount val="1"/>
                <c:pt idx="0">
                  <c:v>Aluminium (USD/dmt)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Lengkap'!$C$8:$CX$8</c:f>
              <c:numCache>
                <c:formatCode>General</c:formatCode>
                <c:ptCount val="100"/>
                <c:pt idx="0">
                  <c:v>2124.3200000000002</c:v>
                </c:pt>
                <c:pt idx="1">
                  <c:v>2127.2600000000002</c:v>
                </c:pt>
                <c:pt idx="2">
                  <c:v>2046.93</c:v>
                </c:pt>
                <c:pt idx="3">
                  <c:v>2194.9299999999998</c:v>
                </c:pt>
                <c:pt idx="4">
                  <c:v>2199.5700000000002</c:v>
                </c:pt>
                <c:pt idx="5">
                  <c:v>2132.9499999999998</c:v>
                </c:pt>
                <c:pt idx="6">
                  <c:v>2150.79</c:v>
                </c:pt>
                <c:pt idx="7">
                  <c:v>2301.4299999999998</c:v>
                </c:pt>
                <c:pt idx="8">
                  <c:v>2275.4499999999998</c:v>
                </c:pt>
                <c:pt idx="9">
                  <c:v>2136.61</c:v>
                </c:pt>
                <c:pt idx="10">
                  <c:v>1699.33</c:v>
                </c:pt>
                <c:pt idx="11">
                  <c:v>2040.59</c:v>
                </c:pt>
                <c:pt idx="12">
                  <c:v>2053.8200000000002</c:v>
                </c:pt>
                <c:pt idx="13">
                  <c:v>1956.02</c:v>
                </c:pt>
                <c:pt idx="14">
                  <c:v>1939.48</c:v>
                </c:pt>
                <c:pt idx="15">
                  <c:v>1854.24</c:v>
                </c:pt>
                <c:pt idx="16">
                  <c:v>1856.11</c:v>
                </c:pt>
                <c:pt idx="17">
                  <c:v>1866.65</c:v>
                </c:pt>
                <c:pt idx="18">
                  <c:v>1865.59</c:v>
                </c:pt>
                <c:pt idx="19">
                  <c:v>1801.86</c:v>
                </c:pt>
                <c:pt idx="20">
                  <c:v>1752</c:v>
                </c:pt>
                <c:pt idx="21">
                  <c:v>1787.93</c:v>
                </c:pt>
                <c:pt idx="22">
                  <c:v>1760.83</c:v>
                </c:pt>
                <c:pt idx="23">
                  <c:v>1749</c:v>
                </c:pt>
                <c:pt idx="24">
                  <c:v>1721.38</c:v>
                </c:pt>
                <c:pt idx="25">
                  <c:v>1758.05</c:v>
                </c:pt>
                <c:pt idx="26">
                  <c:v>1762.32</c:v>
                </c:pt>
                <c:pt idx="27">
                  <c:v>1780.22</c:v>
                </c:pt>
                <c:pt idx="28">
                  <c:v>1723.11</c:v>
                </c:pt>
                <c:pt idx="29">
                  <c:v>1667.76</c:v>
                </c:pt>
                <c:pt idx="30">
                  <c:v>1480.63</c:v>
                </c:pt>
                <c:pt idx="31">
                  <c:v>1451.5</c:v>
                </c:pt>
                <c:pt idx="32">
                  <c:v>1536.23</c:v>
                </c:pt>
                <c:pt idx="33">
                  <c:v>1605.78</c:v>
                </c:pt>
                <c:pt idx="34">
                  <c:v>1700.65</c:v>
                </c:pt>
                <c:pt idx="35">
                  <c:v>1749.55</c:v>
                </c:pt>
                <c:pt idx="36">
                  <c:v>1768.52</c:v>
                </c:pt>
                <c:pt idx="37">
                  <c:v>1874</c:v>
                </c:pt>
                <c:pt idx="38">
                  <c:v>2010.1</c:v>
                </c:pt>
                <c:pt idx="39">
                  <c:v>2006.63</c:v>
                </c:pt>
                <c:pt idx="40">
                  <c:v>2029.61</c:v>
                </c:pt>
                <c:pt idx="41">
                  <c:v>2171.5500000000002</c:v>
                </c:pt>
                <c:pt idx="42">
                  <c:v>2255.2600000000002</c:v>
                </c:pt>
                <c:pt idx="43">
                  <c:v>2433.88</c:v>
                </c:pt>
                <c:pt idx="44">
                  <c:v>2418.5500000000002</c:v>
                </c:pt>
                <c:pt idx="45">
                  <c:v>2466.4499999999998</c:v>
                </c:pt>
                <c:pt idx="46">
                  <c:v>2557.3000000000002</c:v>
                </c:pt>
                <c:pt idx="47">
                  <c:v>2748.9</c:v>
                </c:pt>
                <c:pt idx="48">
                  <c:v>2961.68</c:v>
                </c:pt>
                <c:pt idx="49">
                  <c:v>2709.41</c:v>
                </c:pt>
                <c:pt idx="50">
                  <c:v>2650.05</c:v>
                </c:pt>
                <c:pt idx="51">
                  <c:v>2883.35</c:v>
                </c:pt>
                <c:pt idx="52">
                  <c:v>3159.86</c:v>
                </c:pt>
                <c:pt idx="53">
                  <c:v>3483.9</c:v>
                </c:pt>
                <c:pt idx="54">
                  <c:v>3440.38</c:v>
                </c:pt>
                <c:pt idx="55">
                  <c:v>2931.62</c:v>
                </c:pt>
                <c:pt idx="56">
                  <c:v>2738.74</c:v>
                </c:pt>
                <c:pt idx="57">
                  <c:v>2412.5700000000002</c:v>
                </c:pt>
                <c:pt idx="58">
                  <c:v>2436.52</c:v>
                </c:pt>
                <c:pt idx="59">
                  <c:v>2324.0500000000002</c:v>
                </c:pt>
                <c:pt idx="60">
                  <c:v>2225.5</c:v>
                </c:pt>
                <c:pt idx="61">
                  <c:v>2282.98</c:v>
                </c:pt>
                <c:pt idx="62">
                  <c:v>2393.71</c:v>
                </c:pt>
                <c:pt idx="63">
                  <c:v>2402.5300000000002</c:v>
                </c:pt>
                <c:pt idx="64">
                  <c:v>2501.5500000000002</c:v>
                </c:pt>
                <c:pt idx="65">
                  <c:v>2313.8000000000002</c:v>
                </c:pt>
                <c:pt idx="66">
                  <c:v>2313.4499999999998</c:v>
                </c:pt>
                <c:pt idx="67">
                  <c:v>2307.0300000000002</c:v>
                </c:pt>
                <c:pt idx="68">
                  <c:v>2218.4499999999998</c:v>
                </c:pt>
                <c:pt idx="69">
                  <c:v>2141.25</c:v>
                </c:pt>
                <c:pt idx="70">
                  <c:v>2151.5700000000002</c:v>
                </c:pt>
                <c:pt idx="71">
                  <c:v>2144.36</c:v>
                </c:pt>
                <c:pt idx="72">
                  <c:v>2201.0700000000002</c:v>
                </c:pt>
                <c:pt idx="73">
                  <c:v>2205.4</c:v>
                </c:pt>
                <c:pt idx="74">
                  <c:v>2154.0700000000002</c:v>
                </c:pt>
                <c:pt idx="75">
                  <c:v>2214.2800000000002</c:v>
                </c:pt>
                <c:pt idx="76">
                  <c:v>2195</c:v>
                </c:pt>
                <c:pt idx="77">
                  <c:v>2187.0500000000002</c:v>
                </c:pt>
                <c:pt idx="78">
                  <c:v>2390.31</c:v>
                </c:pt>
                <c:pt idx="79">
                  <c:v>2539.08</c:v>
                </c:pt>
                <c:pt idx="80">
                  <c:v>2562.36</c:v>
                </c:pt>
                <c:pt idx="81">
                  <c:v>2440.3200000000002</c:v>
                </c:pt>
                <c:pt idx="82">
                  <c:v>2244.1</c:v>
                </c:pt>
                <c:pt idx="83">
                  <c:v>2430.3200000000002</c:v>
                </c:pt>
                <c:pt idx="84">
                  <c:v>2571.5</c:v>
                </c:pt>
                <c:pt idx="85">
                  <c:v>2591.86</c:v>
                </c:pt>
                <c:pt idx="86">
                  <c:v>2565.23</c:v>
                </c:pt>
                <c:pt idx="87">
                  <c:v>2531.9699999999998</c:v>
                </c:pt>
                <c:pt idx="88">
                  <c:v>2659.1</c:v>
                </c:pt>
                <c:pt idx="89">
                  <c:v>2673.04</c:v>
                </c:pt>
                <c:pt idx="90">
                  <c:v>2687.27</c:v>
                </c:pt>
                <c:pt idx="91">
                  <c:v>2517.4699999999998</c:v>
                </c:pt>
                <c:pt idx="92">
                  <c:v>2355.31</c:v>
                </c:pt>
                <c:pt idx="93">
                  <c:v>2392.88</c:v>
                </c:pt>
                <c:pt idx="94">
                  <c:v>2443.3200000000002</c:v>
                </c:pt>
                <c:pt idx="95">
                  <c:v>2457.13</c:v>
                </c:pt>
                <c:pt idx="96">
                  <c:v>2515.1</c:v>
                </c:pt>
                <c:pt idx="97">
                  <c:v>2577.4</c:v>
                </c:pt>
                <c:pt idx="98">
                  <c:v>2604.4</c:v>
                </c:pt>
                <c:pt idx="99">
                  <c:v>2611.4699999999998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83-4C91-883D-5621B64D8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424928"/>
        <c:axId val="351408608"/>
      </c:lineChart>
      <c:catAx>
        <c:axId val="35142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08608"/>
        <c:crosses val="autoZero"/>
        <c:auto val="1"/>
        <c:lblAlgn val="ctr"/>
        <c:lblOffset val="100"/>
        <c:noMultiLvlLbl val="0"/>
      </c:catAx>
      <c:valAx>
        <c:axId val="3514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2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'Perhitungan Lengkap'!$B$9</c:f>
              <c:strCache>
                <c:ptCount val="1"/>
                <c:pt idx="0">
                  <c:v>Tembaga (USD/dmt)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Lengkap'!$C$9:$CX$9</c:f>
              <c:numCache>
                <c:formatCode>General</c:formatCode>
                <c:ptCount val="100"/>
                <c:pt idx="0">
                  <c:v>6618.05</c:v>
                </c:pt>
                <c:pt idx="1">
                  <c:v>6860.5</c:v>
                </c:pt>
                <c:pt idx="2">
                  <c:v>6741.5</c:v>
                </c:pt>
                <c:pt idx="3">
                  <c:v>7095.83</c:v>
                </c:pt>
                <c:pt idx="4">
                  <c:v>7004.4</c:v>
                </c:pt>
                <c:pt idx="5">
                  <c:v>6932.35</c:v>
                </c:pt>
                <c:pt idx="6">
                  <c:v>6751.79</c:v>
                </c:pt>
                <c:pt idx="7">
                  <c:v>6837.1</c:v>
                </c:pt>
                <c:pt idx="8">
                  <c:v>6996.69</c:v>
                </c:pt>
                <c:pt idx="9">
                  <c:v>6446.39</c:v>
                </c:pt>
                <c:pt idx="10">
                  <c:v>6107.4</c:v>
                </c:pt>
                <c:pt idx="11">
                  <c:v>5956.98</c:v>
                </c:pt>
                <c:pt idx="12">
                  <c:v>6226.2</c:v>
                </c:pt>
                <c:pt idx="13">
                  <c:v>6174.14</c:v>
                </c:pt>
                <c:pt idx="14">
                  <c:v>6180.77</c:v>
                </c:pt>
                <c:pt idx="15">
                  <c:v>5926.24</c:v>
                </c:pt>
                <c:pt idx="16">
                  <c:v>6093.59</c:v>
                </c:pt>
                <c:pt idx="17">
                  <c:v>6475.48</c:v>
                </c:pt>
                <c:pt idx="18">
                  <c:v>6442.16</c:v>
                </c:pt>
                <c:pt idx="19">
                  <c:v>6218.67</c:v>
                </c:pt>
                <c:pt idx="20">
                  <c:v>5852</c:v>
                </c:pt>
                <c:pt idx="21">
                  <c:v>5937.45</c:v>
                </c:pt>
                <c:pt idx="22">
                  <c:v>5816.4</c:v>
                </c:pt>
                <c:pt idx="23">
                  <c:v>5725.3</c:v>
                </c:pt>
                <c:pt idx="24">
                  <c:v>5697.05</c:v>
                </c:pt>
                <c:pt idx="25">
                  <c:v>5851.98</c:v>
                </c:pt>
                <c:pt idx="26">
                  <c:v>5959.75</c:v>
                </c:pt>
                <c:pt idx="27">
                  <c:v>6178.78</c:v>
                </c:pt>
                <c:pt idx="28">
                  <c:v>5786.04</c:v>
                </c:pt>
                <c:pt idx="29">
                  <c:v>5493.5</c:v>
                </c:pt>
                <c:pt idx="30">
                  <c:v>4889.68</c:v>
                </c:pt>
                <c:pt idx="31">
                  <c:v>5162.17</c:v>
                </c:pt>
                <c:pt idx="32">
                  <c:v>5550.18</c:v>
                </c:pt>
                <c:pt idx="33">
                  <c:v>6150.3</c:v>
                </c:pt>
                <c:pt idx="34">
                  <c:v>6447.8</c:v>
                </c:pt>
                <c:pt idx="35">
                  <c:v>6701.07</c:v>
                </c:pt>
                <c:pt idx="36">
                  <c:v>6639.12</c:v>
                </c:pt>
                <c:pt idx="37">
                  <c:v>6874.41</c:v>
                </c:pt>
                <c:pt idx="38">
                  <c:v>7607.31</c:v>
                </c:pt>
                <c:pt idx="39">
                  <c:v>7921.82</c:v>
                </c:pt>
                <c:pt idx="40">
                  <c:v>8101.57</c:v>
                </c:pt>
                <c:pt idx="41">
                  <c:v>9099.58</c:v>
                </c:pt>
                <c:pt idx="42">
                  <c:v>8994.9699999999993</c:v>
                </c:pt>
                <c:pt idx="43">
                  <c:v>10031.36</c:v>
                </c:pt>
                <c:pt idx="44">
                  <c:v>9869</c:v>
                </c:pt>
                <c:pt idx="45">
                  <c:v>9334.07</c:v>
                </c:pt>
                <c:pt idx="46">
                  <c:v>9448.7999999999993</c:v>
                </c:pt>
                <c:pt idx="47">
                  <c:v>9360.7800000000007</c:v>
                </c:pt>
                <c:pt idx="48">
                  <c:v>9470.34</c:v>
                </c:pt>
                <c:pt idx="49">
                  <c:v>9844.41</c:v>
                </c:pt>
                <c:pt idx="50">
                  <c:v>9604</c:v>
                </c:pt>
                <c:pt idx="51">
                  <c:v>9687.33</c:v>
                </c:pt>
                <c:pt idx="52">
                  <c:v>9888.14</c:v>
                </c:pt>
                <c:pt idx="53">
                  <c:v>10124.75</c:v>
                </c:pt>
                <c:pt idx="54">
                  <c:v>10311.18</c:v>
                </c:pt>
                <c:pt idx="55">
                  <c:v>9581.83</c:v>
                </c:pt>
                <c:pt idx="56">
                  <c:v>9428.5300000000007</c:v>
                </c:pt>
                <c:pt idx="57">
                  <c:v>7957.07</c:v>
                </c:pt>
                <c:pt idx="58">
                  <c:v>7780.24</c:v>
                </c:pt>
                <c:pt idx="59">
                  <c:v>7901.75</c:v>
                </c:pt>
                <c:pt idx="60">
                  <c:v>7608.77</c:v>
                </c:pt>
                <c:pt idx="61">
                  <c:v>7890.73</c:v>
                </c:pt>
                <c:pt idx="62">
                  <c:v>8235.57</c:v>
                </c:pt>
                <c:pt idx="63">
                  <c:v>8671.85</c:v>
                </c:pt>
                <c:pt idx="64">
                  <c:v>9070.33</c:v>
                </c:pt>
                <c:pt idx="65">
                  <c:v>8843.1</c:v>
                </c:pt>
                <c:pt idx="66">
                  <c:v>8910.6200000000008</c:v>
                </c:pt>
                <c:pt idx="67">
                  <c:v>8458.3799999999992</c:v>
                </c:pt>
                <c:pt idx="68">
                  <c:v>8247.1</c:v>
                </c:pt>
                <c:pt idx="69">
                  <c:v>8394.61</c:v>
                </c:pt>
                <c:pt idx="70">
                  <c:v>8420.14</c:v>
                </c:pt>
                <c:pt idx="71">
                  <c:v>8353.2099999999991</c:v>
                </c:pt>
                <c:pt idx="72">
                  <c:v>8007.89</c:v>
                </c:pt>
                <c:pt idx="73">
                  <c:v>8032.14</c:v>
                </c:pt>
                <c:pt idx="74">
                  <c:v>8331.57</c:v>
                </c:pt>
                <c:pt idx="75">
                  <c:v>8359.5300000000007</c:v>
                </c:pt>
                <c:pt idx="76">
                  <c:v>8313.83</c:v>
                </c:pt>
                <c:pt idx="77">
                  <c:v>8544.57</c:v>
                </c:pt>
                <c:pt idx="78">
                  <c:v>9134.1200000000008</c:v>
                </c:pt>
                <c:pt idx="79">
                  <c:v>9900.58</c:v>
                </c:pt>
                <c:pt idx="80">
                  <c:v>9978.75</c:v>
                </c:pt>
                <c:pt idx="81">
                  <c:v>9579.11</c:v>
                </c:pt>
                <c:pt idx="82">
                  <c:v>8903.07</c:v>
                </c:pt>
                <c:pt idx="83">
                  <c:v>9093.91</c:v>
                </c:pt>
                <c:pt idx="84">
                  <c:v>9617</c:v>
                </c:pt>
                <c:pt idx="85">
                  <c:v>9280.23</c:v>
                </c:pt>
                <c:pt idx="86">
                  <c:v>8945.2999999999993</c:v>
                </c:pt>
                <c:pt idx="87">
                  <c:v>8895.14</c:v>
                </c:pt>
                <c:pt idx="88">
                  <c:v>9362.83</c:v>
                </c:pt>
                <c:pt idx="89">
                  <c:v>9484</c:v>
                </c:pt>
                <c:pt idx="90">
                  <c:v>9763.8700000000008</c:v>
                </c:pt>
                <c:pt idx="91">
                  <c:v>9525.19</c:v>
                </c:pt>
                <c:pt idx="92">
                  <c:v>9096.92</c:v>
                </c:pt>
                <c:pt idx="93">
                  <c:v>9384.3799999999992</c:v>
                </c:pt>
                <c:pt idx="94">
                  <c:v>9530.36</c:v>
                </c:pt>
                <c:pt idx="95">
                  <c:v>9649.6299999999992</c:v>
                </c:pt>
                <c:pt idx="96">
                  <c:v>9822.07</c:v>
                </c:pt>
                <c:pt idx="97">
                  <c:v>9952.5300000000007</c:v>
                </c:pt>
                <c:pt idx="98">
                  <c:v>9725.3700000000008</c:v>
                </c:pt>
                <c:pt idx="99">
                  <c:v>9701.83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63-4B88-85E4-98F0FD3D8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731552"/>
        <c:axId val="721733472"/>
      </c:lineChart>
      <c:catAx>
        <c:axId val="7217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33472"/>
        <c:crosses val="autoZero"/>
        <c:auto val="1"/>
        <c:lblAlgn val="ctr"/>
        <c:lblOffset val="100"/>
        <c:noMultiLvlLbl val="0"/>
      </c:catAx>
      <c:valAx>
        <c:axId val="72173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strRef>
              <c:f>'Perhitungan Lengkap'!$B$10</c:f>
              <c:strCache>
                <c:ptCount val="1"/>
                <c:pt idx="0">
                  <c:v>Emas sebagai mineral ikutan (USD/Troy Ounce)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Lengkap'!$C$10:$CX$10</c:f>
              <c:numCache>
                <c:formatCode>General</c:formatCode>
                <c:ptCount val="100"/>
                <c:pt idx="0">
                  <c:v>1286.3599999999999</c:v>
                </c:pt>
                <c:pt idx="1">
                  <c:v>1276.76</c:v>
                </c:pt>
                <c:pt idx="2">
                  <c:v>1269.54</c:v>
                </c:pt>
                <c:pt idx="3">
                  <c:v>1309.96</c:v>
                </c:pt>
                <c:pt idx="4">
                  <c:v>1337.54</c:v>
                </c:pt>
                <c:pt idx="5">
                  <c:v>1323.17</c:v>
                </c:pt>
                <c:pt idx="6">
                  <c:v>1337.43</c:v>
                </c:pt>
                <c:pt idx="7">
                  <c:v>1312.51</c:v>
                </c:pt>
                <c:pt idx="8">
                  <c:v>1295.1500000000001</c:v>
                </c:pt>
                <c:pt idx="9">
                  <c:v>1251.46</c:v>
                </c:pt>
                <c:pt idx="10">
                  <c:v>1212.3699999999999</c:v>
                </c:pt>
                <c:pt idx="11">
                  <c:v>1198.5899999999999</c:v>
                </c:pt>
                <c:pt idx="12">
                  <c:v>1204.9100000000001</c:v>
                </c:pt>
                <c:pt idx="13">
                  <c:v>1223.05</c:v>
                </c:pt>
                <c:pt idx="14">
                  <c:v>1234.1500000000001</c:v>
                </c:pt>
                <c:pt idx="15">
                  <c:v>1282.29</c:v>
                </c:pt>
                <c:pt idx="16">
                  <c:v>1307.3599999999999</c:v>
                </c:pt>
                <c:pt idx="17">
                  <c:v>1308.02</c:v>
                </c:pt>
                <c:pt idx="18">
                  <c:v>1296.44</c:v>
                </c:pt>
                <c:pt idx="19">
                  <c:v>1283.69</c:v>
                </c:pt>
                <c:pt idx="20">
                  <c:v>1312.55</c:v>
                </c:pt>
                <c:pt idx="21">
                  <c:v>1406.29</c:v>
                </c:pt>
                <c:pt idx="22">
                  <c:v>1462.46</c:v>
                </c:pt>
                <c:pt idx="23">
                  <c:v>1515.23</c:v>
                </c:pt>
                <c:pt idx="24">
                  <c:v>1498.65</c:v>
                </c:pt>
                <c:pt idx="25">
                  <c:v>1484.03</c:v>
                </c:pt>
                <c:pt idx="26">
                  <c:v>1466.68</c:v>
                </c:pt>
                <c:pt idx="27">
                  <c:v>1536.14</c:v>
                </c:pt>
                <c:pt idx="28">
                  <c:v>1571.59</c:v>
                </c:pt>
                <c:pt idx="29">
                  <c:v>1609.19</c:v>
                </c:pt>
                <c:pt idx="30">
                  <c:v>1632.92</c:v>
                </c:pt>
                <c:pt idx="31">
                  <c:v>1708.91</c:v>
                </c:pt>
                <c:pt idx="32">
                  <c:v>1719.81</c:v>
                </c:pt>
                <c:pt idx="33">
                  <c:v>1784.74</c:v>
                </c:pt>
                <c:pt idx="34">
                  <c:v>1951.85</c:v>
                </c:pt>
                <c:pt idx="35">
                  <c:v>1941.15</c:v>
                </c:pt>
                <c:pt idx="36">
                  <c:v>1895.14</c:v>
                </c:pt>
                <c:pt idx="37">
                  <c:v>1891.82</c:v>
                </c:pt>
                <c:pt idx="38">
                  <c:v>1835.43</c:v>
                </c:pt>
                <c:pt idx="39">
                  <c:v>1876.42</c:v>
                </c:pt>
                <c:pt idx="40">
                  <c:v>1830.05</c:v>
                </c:pt>
                <c:pt idx="41">
                  <c:v>1734.7</c:v>
                </c:pt>
                <c:pt idx="42">
                  <c:v>1735.31</c:v>
                </c:pt>
                <c:pt idx="43">
                  <c:v>1809.73</c:v>
                </c:pt>
                <c:pt idx="44">
                  <c:v>1874.33</c:v>
                </c:pt>
                <c:pt idx="45">
                  <c:v>1794.84</c:v>
                </c:pt>
                <c:pt idx="46">
                  <c:v>1789.64</c:v>
                </c:pt>
                <c:pt idx="47">
                  <c:v>1795.32</c:v>
                </c:pt>
                <c:pt idx="48">
                  <c:v>1762.57</c:v>
                </c:pt>
                <c:pt idx="49">
                  <c:v>1817.52</c:v>
                </c:pt>
                <c:pt idx="50">
                  <c:v>1786.24</c:v>
                </c:pt>
                <c:pt idx="51">
                  <c:v>1807.53</c:v>
                </c:pt>
                <c:pt idx="52">
                  <c:v>1831.08</c:v>
                </c:pt>
                <c:pt idx="53">
                  <c:v>1940.31</c:v>
                </c:pt>
                <c:pt idx="54">
                  <c:v>1942.41</c:v>
                </c:pt>
                <c:pt idx="55">
                  <c:v>1873.14</c:v>
                </c:pt>
                <c:pt idx="56">
                  <c:v>1842.57</c:v>
                </c:pt>
                <c:pt idx="57">
                  <c:v>1778.12</c:v>
                </c:pt>
                <c:pt idx="58">
                  <c:v>1759.97</c:v>
                </c:pt>
                <c:pt idx="59">
                  <c:v>1716.37</c:v>
                </c:pt>
                <c:pt idx="60">
                  <c:v>1666.39</c:v>
                </c:pt>
                <c:pt idx="61">
                  <c:v>1690.86</c:v>
                </c:pt>
                <c:pt idx="62">
                  <c:v>1775.03</c:v>
                </c:pt>
                <c:pt idx="63">
                  <c:v>1862.54</c:v>
                </c:pt>
                <c:pt idx="64">
                  <c:v>1889.85</c:v>
                </c:pt>
                <c:pt idx="65">
                  <c:v>1856.45</c:v>
                </c:pt>
                <c:pt idx="66">
                  <c:v>1988.21</c:v>
                </c:pt>
                <c:pt idx="67">
                  <c:v>1999.99</c:v>
                </c:pt>
                <c:pt idx="68">
                  <c:v>1959.85</c:v>
                </c:pt>
                <c:pt idx="69">
                  <c:v>1931.95</c:v>
                </c:pt>
                <c:pt idx="70">
                  <c:v>1935.49</c:v>
                </c:pt>
                <c:pt idx="71">
                  <c:v>1921.85</c:v>
                </c:pt>
                <c:pt idx="72">
                  <c:v>1885.22</c:v>
                </c:pt>
                <c:pt idx="73">
                  <c:v>1973.74</c:v>
                </c:pt>
                <c:pt idx="74">
                  <c:v>2015.23</c:v>
                </c:pt>
                <c:pt idx="75">
                  <c:v>2043.09</c:v>
                </c:pt>
                <c:pt idx="76">
                  <c:v>2022.29</c:v>
                </c:pt>
                <c:pt idx="77">
                  <c:v>2102.25</c:v>
                </c:pt>
                <c:pt idx="78">
                  <c:v>2286.7800000000002</c:v>
                </c:pt>
                <c:pt idx="79">
                  <c:v>2333.4</c:v>
                </c:pt>
                <c:pt idx="80">
                  <c:v>2344.4699999999998</c:v>
                </c:pt>
                <c:pt idx="81">
                  <c:v>2373.25</c:v>
                </c:pt>
                <c:pt idx="82">
                  <c:v>2425.4899999999998</c:v>
                </c:pt>
                <c:pt idx="83">
                  <c:v>2522.1799999999998</c:v>
                </c:pt>
                <c:pt idx="84">
                  <c:v>2650.71</c:v>
                </c:pt>
                <c:pt idx="85">
                  <c:v>2689.46</c:v>
                </c:pt>
                <c:pt idx="86">
                  <c:v>2651.36</c:v>
                </c:pt>
                <c:pt idx="87">
                  <c:v>2651.38</c:v>
                </c:pt>
                <c:pt idx="88">
                  <c:v>2907.23</c:v>
                </c:pt>
                <c:pt idx="89">
                  <c:v>2910.6</c:v>
                </c:pt>
                <c:pt idx="90">
                  <c:v>2973.68</c:v>
                </c:pt>
                <c:pt idx="91">
                  <c:v>3056.28</c:v>
                </c:pt>
                <c:pt idx="92">
                  <c:v>3216.94</c:v>
                </c:pt>
                <c:pt idx="93">
                  <c:v>3316.69</c:v>
                </c:pt>
                <c:pt idx="94">
                  <c:v>3279.13</c:v>
                </c:pt>
                <c:pt idx="95">
                  <c:v>3313.97</c:v>
                </c:pt>
                <c:pt idx="96">
                  <c:v>3362.93</c:v>
                </c:pt>
                <c:pt idx="97">
                  <c:v>3326.36</c:v>
                </c:pt>
                <c:pt idx="98">
                  <c:v>3347.17</c:v>
                </c:pt>
                <c:pt idx="99">
                  <c:v>3359.73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8D-488B-90C1-CC0DADDE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402864"/>
        <c:axId val="653403344"/>
      </c:lineChart>
      <c:catAx>
        <c:axId val="65340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403344"/>
        <c:crosses val="autoZero"/>
        <c:auto val="1"/>
        <c:lblAlgn val="ctr"/>
        <c:lblOffset val="100"/>
        <c:noMultiLvlLbl val="0"/>
      </c:catAx>
      <c:valAx>
        <c:axId val="6534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40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'Perhitungan Lengkap'!$B$11</c:f>
              <c:strCache>
                <c:ptCount val="1"/>
                <c:pt idx="0">
                  <c:v>Perak sebagai mineral ikutan (USD/Troy Ounce)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Lengkap'!$C$11:$CX$11</c:f>
              <c:numCache>
                <c:formatCode>General</c:formatCode>
                <c:ptCount val="100"/>
                <c:pt idx="0">
                  <c:v>16.96</c:v>
                </c:pt>
                <c:pt idx="1">
                  <c:v>16.97</c:v>
                </c:pt>
                <c:pt idx="2">
                  <c:v>16.420000000000002</c:v>
                </c:pt>
                <c:pt idx="3">
                  <c:v>16.920000000000002</c:v>
                </c:pt>
                <c:pt idx="4">
                  <c:v>16.920000000000002</c:v>
                </c:pt>
                <c:pt idx="5">
                  <c:v>16.510000000000002</c:v>
                </c:pt>
                <c:pt idx="6">
                  <c:v>16.52</c:v>
                </c:pt>
                <c:pt idx="7">
                  <c:v>16.53</c:v>
                </c:pt>
                <c:pt idx="8">
                  <c:v>16.62</c:v>
                </c:pt>
                <c:pt idx="9">
                  <c:v>15.99</c:v>
                </c:pt>
                <c:pt idx="10">
                  <c:v>15.3</c:v>
                </c:pt>
                <c:pt idx="11">
                  <c:v>14.43</c:v>
                </c:pt>
                <c:pt idx="12">
                  <c:v>14.49</c:v>
                </c:pt>
                <c:pt idx="13">
                  <c:v>14.48</c:v>
                </c:pt>
                <c:pt idx="14">
                  <c:v>14.46</c:v>
                </c:pt>
                <c:pt idx="15">
                  <c:v>15.41</c:v>
                </c:pt>
                <c:pt idx="16">
                  <c:v>15.68</c:v>
                </c:pt>
                <c:pt idx="17">
                  <c:v>15.5</c:v>
                </c:pt>
                <c:pt idx="18">
                  <c:v>15.19</c:v>
                </c:pt>
                <c:pt idx="19">
                  <c:v>14.82</c:v>
                </c:pt>
                <c:pt idx="20">
                  <c:v>14.67</c:v>
                </c:pt>
                <c:pt idx="21">
                  <c:v>15.35</c:v>
                </c:pt>
                <c:pt idx="22">
                  <c:v>16.690000000000001</c:v>
                </c:pt>
                <c:pt idx="23">
                  <c:v>18.02</c:v>
                </c:pt>
                <c:pt idx="24">
                  <c:v>17.68</c:v>
                </c:pt>
                <c:pt idx="25">
                  <c:v>17.489999999999998</c:v>
                </c:pt>
                <c:pt idx="26">
                  <c:v>16.940000000000001</c:v>
                </c:pt>
                <c:pt idx="27">
                  <c:v>17.91</c:v>
                </c:pt>
                <c:pt idx="28">
                  <c:v>17.809999999999999</c:v>
                </c:pt>
                <c:pt idx="29">
                  <c:v>16.48</c:v>
                </c:pt>
                <c:pt idx="30">
                  <c:v>14.4</c:v>
                </c:pt>
                <c:pt idx="31">
                  <c:v>15.42</c:v>
                </c:pt>
                <c:pt idx="32">
                  <c:v>17.559999999999999</c:v>
                </c:pt>
                <c:pt idx="33">
                  <c:v>18.34</c:v>
                </c:pt>
                <c:pt idx="34">
                  <c:v>25.08</c:v>
                </c:pt>
                <c:pt idx="35">
                  <c:v>27.05</c:v>
                </c:pt>
                <c:pt idx="36">
                  <c:v>24.02</c:v>
                </c:pt>
                <c:pt idx="37">
                  <c:v>24.36</c:v>
                </c:pt>
                <c:pt idx="38">
                  <c:v>24</c:v>
                </c:pt>
                <c:pt idx="39">
                  <c:v>26.03</c:v>
                </c:pt>
                <c:pt idx="40">
                  <c:v>26.72</c:v>
                </c:pt>
                <c:pt idx="41">
                  <c:v>26.37</c:v>
                </c:pt>
                <c:pt idx="42">
                  <c:v>25.14</c:v>
                </c:pt>
                <c:pt idx="43">
                  <c:v>26.78</c:v>
                </c:pt>
                <c:pt idx="44">
                  <c:v>27.62</c:v>
                </c:pt>
                <c:pt idx="45">
                  <c:v>26.08</c:v>
                </c:pt>
                <c:pt idx="46">
                  <c:v>24.59</c:v>
                </c:pt>
                <c:pt idx="47">
                  <c:v>23.83</c:v>
                </c:pt>
                <c:pt idx="48">
                  <c:v>22.68</c:v>
                </c:pt>
                <c:pt idx="49">
                  <c:v>24.35</c:v>
                </c:pt>
                <c:pt idx="50">
                  <c:v>22.77</c:v>
                </c:pt>
                <c:pt idx="51">
                  <c:v>22.81</c:v>
                </c:pt>
                <c:pt idx="52">
                  <c:v>23.27</c:v>
                </c:pt>
                <c:pt idx="53">
                  <c:v>25.05</c:v>
                </c:pt>
                <c:pt idx="54">
                  <c:v>24.99</c:v>
                </c:pt>
                <c:pt idx="55">
                  <c:v>22.66</c:v>
                </c:pt>
                <c:pt idx="56">
                  <c:v>21.83</c:v>
                </c:pt>
                <c:pt idx="57">
                  <c:v>20.010000000000002</c:v>
                </c:pt>
                <c:pt idx="58">
                  <c:v>19.73</c:v>
                </c:pt>
                <c:pt idx="59">
                  <c:v>18.79</c:v>
                </c:pt>
                <c:pt idx="60">
                  <c:v>19.3</c:v>
                </c:pt>
                <c:pt idx="61">
                  <c:v>20.190000000000001</c:v>
                </c:pt>
                <c:pt idx="62">
                  <c:v>22.31</c:v>
                </c:pt>
                <c:pt idx="63">
                  <c:v>23.84</c:v>
                </c:pt>
                <c:pt idx="64">
                  <c:v>22.84</c:v>
                </c:pt>
                <c:pt idx="65">
                  <c:v>21.16</c:v>
                </c:pt>
                <c:pt idx="66">
                  <c:v>24.04</c:v>
                </c:pt>
                <c:pt idx="67">
                  <c:v>24.75</c:v>
                </c:pt>
                <c:pt idx="68">
                  <c:v>23.61</c:v>
                </c:pt>
                <c:pt idx="69">
                  <c:v>23.31</c:v>
                </c:pt>
                <c:pt idx="70">
                  <c:v>23.69</c:v>
                </c:pt>
                <c:pt idx="71">
                  <c:v>23.55</c:v>
                </c:pt>
                <c:pt idx="72">
                  <c:v>22.37</c:v>
                </c:pt>
                <c:pt idx="73">
                  <c:v>22.91</c:v>
                </c:pt>
                <c:pt idx="74">
                  <c:v>24.03</c:v>
                </c:pt>
                <c:pt idx="75">
                  <c:v>23.37</c:v>
                </c:pt>
                <c:pt idx="76">
                  <c:v>22.7</c:v>
                </c:pt>
                <c:pt idx="77">
                  <c:v>23.68</c:v>
                </c:pt>
                <c:pt idx="78">
                  <c:v>26.76</c:v>
                </c:pt>
                <c:pt idx="79">
                  <c:v>27.66</c:v>
                </c:pt>
                <c:pt idx="80">
                  <c:v>30.34</c:v>
                </c:pt>
                <c:pt idx="81">
                  <c:v>30.15</c:v>
                </c:pt>
                <c:pt idx="82">
                  <c:v>28.1</c:v>
                </c:pt>
                <c:pt idx="83">
                  <c:v>29.39</c:v>
                </c:pt>
                <c:pt idx="84">
                  <c:v>31.44</c:v>
                </c:pt>
                <c:pt idx="85">
                  <c:v>32.43</c:v>
                </c:pt>
                <c:pt idx="86">
                  <c:v>30.87</c:v>
                </c:pt>
                <c:pt idx="87">
                  <c:v>29.85</c:v>
                </c:pt>
                <c:pt idx="88">
                  <c:v>32.409999999999997</c:v>
                </c:pt>
                <c:pt idx="89">
                  <c:v>32.21</c:v>
                </c:pt>
                <c:pt idx="90">
                  <c:v>33.14</c:v>
                </c:pt>
                <c:pt idx="91">
                  <c:v>32.86</c:v>
                </c:pt>
                <c:pt idx="92">
                  <c:v>31.94</c:v>
                </c:pt>
                <c:pt idx="93">
                  <c:v>32.78</c:v>
                </c:pt>
                <c:pt idx="94">
                  <c:v>32.64</c:v>
                </c:pt>
                <c:pt idx="95">
                  <c:v>33.78</c:v>
                </c:pt>
                <c:pt idx="96">
                  <c:v>36.299999999999997</c:v>
                </c:pt>
                <c:pt idx="97">
                  <c:v>36.340000000000003</c:v>
                </c:pt>
                <c:pt idx="98">
                  <c:v>37.96</c:v>
                </c:pt>
                <c:pt idx="99">
                  <c:v>38.01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C9-4840-A426-D6EEEE680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557040"/>
        <c:axId val="721571920"/>
      </c:lineChart>
      <c:catAx>
        <c:axId val="7215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71920"/>
        <c:crosses val="autoZero"/>
        <c:auto val="1"/>
        <c:lblAlgn val="ctr"/>
        <c:lblOffset val="100"/>
        <c:noMultiLvlLbl val="0"/>
      </c:catAx>
      <c:valAx>
        <c:axId val="72157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0"/>
          <c:tx>
            <c:strRef>
              <c:f>'Perhitungan Lengkap'!$B$12</c:f>
              <c:strCache>
                <c:ptCount val="1"/>
                <c:pt idx="0">
                  <c:v>Mangan (USD/dmt)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Lengkap'!$C$12:$CX$12</c:f>
              <c:numCache>
                <c:formatCode>General</c:formatCode>
                <c:ptCount val="100"/>
                <c:pt idx="0">
                  <c:v>4.55</c:v>
                </c:pt>
                <c:pt idx="1">
                  <c:v>4.62</c:v>
                </c:pt>
                <c:pt idx="2">
                  <c:v>4.55</c:v>
                </c:pt>
                <c:pt idx="3">
                  <c:v>5.3</c:v>
                </c:pt>
                <c:pt idx="4">
                  <c:v>5.9</c:v>
                </c:pt>
                <c:pt idx="5">
                  <c:v>6.82</c:v>
                </c:pt>
                <c:pt idx="6">
                  <c:v>7.41</c:v>
                </c:pt>
                <c:pt idx="7">
                  <c:v>6.89</c:v>
                </c:pt>
                <c:pt idx="8">
                  <c:v>5.82</c:v>
                </c:pt>
                <c:pt idx="9">
                  <c:v>5.78</c:v>
                </c:pt>
                <c:pt idx="10">
                  <c:v>5.93</c:v>
                </c:pt>
                <c:pt idx="11">
                  <c:v>5.94</c:v>
                </c:pt>
                <c:pt idx="12">
                  <c:v>5.98</c:v>
                </c:pt>
                <c:pt idx="13">
                  <c:v>5.98</c:v>
                </c:pt>
                <c:pt idx="14">
                  <c:v>5.96</c:v>
                </c:pt>
                <c:pt idx="15">
                  <c:v>5.53</c:v>
                </c:pt>
                <c:pt idx="16">
                  <c:v>5.24</c:v>
                </c:pt>
                <c:pt idx="17">
                  <c:v>5.48</c:v>
                </c:pt>
                <c:pt idx="18">
                  <c:v>5.48</c:v>
                </c:pt>
                <c:pt idx="19">
                  <c:v>5.33</c:v>
                </c:pt>
                <c:pt idx="20">
                  <c:v>5.13</c:v>
                </c:pt>
                <c:pt idx="21">
                  <c:v>5.13</c:v>
                </c:pt>
                <c:pt idx="22">
                  <c:v>5.13</c:v>
                </c:pt>
                <c:pt idx="23">
                  <c:v>4.59</c:v>
                </c:pt>
                <c:pt idx="24">
                  <c:v>4.18</c:v>
                </c:pt>
                <c:pt idx="25">
                  <c:v>3.72</c:v>
                </c:pt>
                <c:pt idx="26">
                  <c:v>3.36</c:v>
                </c:pt>
                <c:pt idx="27">
                  <c:v>3.66</c:v>
                </c:pt>
                <c:pt idx="28">
                  <c:v>3.73</c:v>
                </c:pt>
                <c:pt idx="29">
                  <c:v>3.81</c:v>
                </c:pt>
                <c:pt idx="30">
                  <c:v>3.83</c:v>
                </c:pt>
                <c:pt idx="31">
                  <c:v>4.63</c:v>
                </c:pt>
                <c:pt idx="32">
                  <c:v>5.43</c:v>
                </c:pt>
                <c:pt idx="33">
                  <c:v>5.03</c:v>
                </c:pt>
                <c:pt idx="34">
                  <c:v>3.97</c:v>
                </c:pt>
                <c:pt idx="35">
                  <c:v>3.94</c:v>
                </c:pt>
                <c:pt idx="36">
                  <c:v>3.98</c:v>
                </c:pt>
                <c:pt idx="37">
                  <c:v>3.98</c:v>
                </c:pt>
                <c:pt idx="38">
                  <c:v>3.78</c:v>
                </c:pt>
                <c:pt idx="39">
                  <c:v>3.88</c:v>
                </c:pt>
                <c:pt idx="40">
                  <c:v>3.88</c:v>
                </c:pt>
                <c:pt idx="41">
                  <c:v>3.98</c:v>
                </c:pt>
                <c:pt idx="42">
                  <c:v>4.08</c:v>
                </c:pt>
                <c:pt idx="43">
                  <c:v>4.05</c:v>
                </c:pt>
                <c:pt idx="44">
                  <c:v>3.98</c:v>
                </c:pt>
                <c:pt idx="45">
                  <c:v>3.98</c:v>
                </c:pt>
                <c:pt idx="46">
                  <c:v>3.98</c:v>
                </c:pt>
                <c:pt idx="47">
                  <c:v>3.98</c:v>
                </c:pt>
                <c:pt idx="48">
                  <c:v>3.98</c:v>
                </c:pt>
                <c:pt idx="49">
                  <c:v>4.01</c:v>
                </c:pt>
                <c:pt idx="50">
                  <c:v>4.0999999999999996</c:v>
                </c:pt>
                <c:pt idx="51">
                  <c:v>4.13</c:v>
                </c:pt>
                <c:pt idx="52">
                  <c:v>4.13</c:v>
                </c:pt>
                <c:pt idx="53">
                  <c:v>4.13</c:v>
                </c:pt>
                <c:pt idx="54">
                  <c:v>4.13</c:v>
                </c:pt>
                <c:pt idx="55">
                  <c:v>4.2300000000000004</c:v>
                </c:pt>
                <c:pt idx="56">
                  <c:v>4.2300000000000004</c:v>
                </c:pt>
                <c:pt idx="57">
                  <c:v>4.2300000000000004</c:v>
                </c:pt>
                <c:pt idx="58">
                  <c:v>4.2300000000000004</c:v>
                </c:pt>
                <c:pt idx="59">
                  <c:v>4.17</c:v>
                </c:pt>
                <c:pt idx="60">
                  <c:v>4.03</c:v>
                </c:pt>
                <c:pt idx="61">
                  <c:v>4.07</c:v>
                </c:pt>
                <c:pt idx="62">
                  <c:v>4.08</c:v>
                </c:pt>
                <c:pt idx="63">
                  <c:v>4.08</c:v>
                </c:pt>
                <c:pt idx="64">
                  <c:v>4.08</c:v>
                </c:pt>
                <c:pt idx="65">
                  <c:v>4.08</c:v>
                </c:pt>
                <c:pt idx="66">
                  <c:v>4.0999999999999996</c:v>
                </c:pt>
                <c:pt idx="67">
                  <c:v>4.28</c:v>
                </c:pt>
                <c:pt idx="68">
                  <c:v>4.0199999999999996</c:v>
                </c:pt>
                <c:pt idx="69">
                  <c:v>3.82</c:v>
                </c:pt>
                <c:pt idx="70">
                  <c:v>3.63</c:v>
                </c:pt>
                <c:pt idx="71">
                  <c:v>3.58</c:v>
                </c:pt>
                <c:pt idx="72">
                  <c:v>3.56</c:v>
                </c:pt>
                <c:pt idx="73">
                  <c:v>3.55</c:v>
                </c:pt>
                <c:pt idx="74">
                  <c:v>3.52</c:v>
                </c:pt>
                <c:pt idx="75">
                  <c:v>3.48</c:v>
                </c:pt>
                <c:pt idx="76">
                  <c:v>3.52</c:v>
                </c:pt>
                <c:pt idx="77">
                  <c:v>3.52</c:v>
                </c:pt>
                <c:pt idx="78">
                  <c:v>3.53</c:v>
                </c:pt>
                <c:pt idx="79">
                  <c:v>3.54</c:v>
                </c:pt>
                <c:pt idx="80">
                  <c:v>3.54</c:v>
                </c:pt>
                <c:pt idx="81">
                  <c:v>3.85</c:v>
                </c:pt>
                <c:pt idx="82">
                  <c:v>4.1399999999999997</c:v>
                </c:pt>
                <c:pt idx="83">
                  <c:v>3.94</c:v>
                </c:pt>
                <c:pt idx="84">
                  <c:v>3.73</c:v>
                </c:pt>
                <c:pt idx="85">
                  <c:v>3.71</c:v>
                </c:pt>
                <c:pt idx="86">
                  <c:v>3.28</c:v>
                </c:pt>
                <c:pt idx="87">
                  <c:v>2.98</c:v>
                </c:pt>
                <c:pt idx="88">
                  <c:v>3.01</c:v>
                </c:pt>
                <c:pt idx="89">
                  <c:v>3.03</c:v>
                </c:pt>
                <c:pt idx="90">
                  <c:v>3.04</c:v>
                </c:pt>
                <c:pt idx="91">
                  <c:v>3.03</c:v>
                </c:pt>
                <c:pt idx="92">
                  <c:v>2.99</c:v>
                </c:pt>
                <c:pt idx="93">
                  <c:v>3</c:v>
                </c:pt>
                <c:pt idx="94">
                  <c:v>3.12</c:v>
                </c:pt>
                <c:pt idx="95">
                  <c:v>3.18</c:v>
                </c:pt>
                <c:pt idx="96">
                  <c:v>3.18</c:v>
                </c:pt>
                <c:pt idx="97">
                  <c:v>3.18</c:v>
                </c:pt>
                <c:pt idx="98">
                  <c:v>3.22</c:v>
                </c:pt>
                <c:pt idx="99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AF-4ECA-8D6F-136C68068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5520"/>
        <c:axId val="6967840"/>
      </c:lineChart>
      <c:catAx>
        <c:axId val="697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840"/>
        <c:crosses val="autoZero"/>
        <c:auto val="1"/>
        <c:lblAlgn val="ctr"/>
        <c:lblOffset val="100"/>
        <c:noMultiLvlLbl val="0"/>
      </c:catAx>
      <c:valAx>
        <c:axId val="69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0"/>
          <c:order val="0"/>
          <c:tx>
            <c:strRef>
              <c:f>'Perhitungan Lengkap'!$B$13</c:f>
              <c:strCache>
                <c:ptCount val="1"/>
                <c:pt idx="0">
                  <c:v>Bijih Besi Laterit/Hematit/Magnetit (USD/dmt)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Lengkap'!$C$13:$CX$13</c:f>
              <c:numCache>
                <c:formatCode>General</c:formatCode>
                <c:ptCount val="100"/>
                <c:pt idx="0">
                  <c:v>0.88</c:v>
                </c:pt>
                <c:pt idx="1">
                  <c:v>0.86</c:v>
                </c:pt>
                <c:pt idx="2">
                  <c:v>0.83</c:v>
                </c:pt>
                <c:pt idx="3">
                  <c:v>0.93</c:v>
                </c:pt>
                <c:pt idx="4">
                  <c:v>0.92</c:v>
                </c:pt>
                <c:pt idx="5">
                  <c:v>0.92</c:v>
                </c:pt>
                <c:pt idx="6">
                  <c:v>0.77</c:v>
                </c:pt>
                <c:pt idx="7">
                  <c:v>0.78</c:v>
                </c:pt>
                <c:pt idx="8">
                  <c:v>0.76</c:v>
                </c:pt>
                <c:pt idx="9">
                  <c:v>0.75</c:v>
                </c:pt>
                <c:pt idx="10">
                  <c:v>0.77</c:v>
                </c:pt>
                <c:pt idx="11">
                  <c:v>0.79</c:v>
                </c:pt>
                <c:pt idx="12">
                  <c:v>0.82</c:v>
                </c:pt>
                <c:pt idx="13">
                  <c:v>0.87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  <c:pt idx="17">
                  <c:v>0.88</c:v>
                </c:pt>
                <c:pt idx="18">
                  <c:v>0.88</c:v>
                </c:pt>
                <c:pt idx="19">
                  <c:v>1.32</c:v>
                </c:pt>
                <c:pt idx="20">
                  <c:v>1.49</c:v>
                </c:pt>
                <c:pt idx="21">
                  <c:v>1.76</c:v>
                </c:pt>
                <c:pt idx="22">
                  <c:v>1.58</c:v>
                </c:pt>
                <c:pt idx="23">
                  <c:v>1.28</c:v>
                </c:pt>
                <c:pt idx="24">
                  <c:v>1.31</c:v>
                </c:pt>
                <c:pt idx="25">
                  <c:v>1.19</c:v>
                </c:pt>
                <c:pt idx="26">
                  <c:v>1.28</c:v>
                </c:pt>
                <c:pt idx="27">
                  <c:v>1.34</c:v>
                </c:pt>
                <c:pt idx="28">
                  <c:v>1.28</c:v>
                </c:pt>
                <c:pt idx="29">
                  <c:v>1.28</c:v>
                </c:pt>
                <c:pt idx="30">
                  <c:v>1.21</c:v>
                </c:pt>
                <c:pt idx="31">
                  <c:v>1.23</c:v>
                </c:pt>
                <c:pt idx="32">
                  <c:v>1.46</c:v>
                </c:pt>
                <c:pt idx="33">
                  <c:v>1.53</c:v>
                </c:pt>
                <c:pt idx="34">
                  <c:v>1.7</c:v>
                </c:pt>
                <c:pt idx="35">
                  <c:v>1.88</c:v>
                </c:pt>
                <c:pt idx="36">
                  <c:v>1.76</c:v>
                </c:pt>
                <c:pt idx="37">
                  <c:v>1.77</c:v>
                </c:pt>
                <c:pt idx="38">
                  <c:v>2.11</c:v>
                </c:pt>
                <c:pt idx="39">
                  <c:v>2.52</c:v>
                </c:pt>
                <c:pt idx="40">
                  <c:v>2.46</c:v>
                </c:pt>
                <c:pt idx="41">
                  <c:v>2.59</c:v>
                </c:pt>
                <c:pt idx="42">
                  <c:v>2.54</c:v>
                </c:pt>
                <c:pt idx="43">
                  <c:v>3.06</c:v>
                </c:pt>
                <c:pt idx="44">
                  <c:v>3.15</c:v>
                </c:pt>
                <c:pt idx="45">
                  <c:v>3.35</c:v>
                </c:pt>
                <c:pt idx="46">
                  <c:v>2.82</c:v>
                </c:pt>
                <c:pt idx="47">
                  <c:v>2.06</c:v>
                </c:pt>
                <c:pt idx="48">
                  <c:v>1.69</c:v>
                </c:pt>
                <c:pt idx="49">
                  <c:v>1.53</c:v>
                </c:pt>
                <c:pt idx="50">
                  <c:v>1.48</c:v>
                </c:pt>
                <c:pt idx="51">
                  <c:v>1.83</c:v>
                </c:pt>
                <c:pt idx="52">
                  <c:v>2.11</c:v>
                </c:pt>
                <c:pt idx="53">
                  <c:v>2.1800000000000002</c:v>
                </c:pt>
                <c:pt idx="54">
                  <c:v>2.31</c:v>
                </c:pt>
                <c:pt idx="55">
                  <c:v>2.09</c:v>
                </c:pt>
                <c:pt idx="56">
                  <c:v>2.0299999999999998</c:v>
                </c:pt>
                <c:pt idx="57">
                  <c:v>1.68</c:v>
                </c:pt>
                <c:pt idx="58">
                  <c:v>1.54</c:v>
                </c:pt>
                <c:pt idx="59">
                  <c:v>1.45</c:v>
                </c:pt>
                <c:pt idx="60">
                  <c:v>1.39</c:v>
                </c:pt>
                <c:pt idx="61">
                  <c:v>1.27</c:v>
                </c:pt>
                <c:pt idx="62">
                  <c:v>1.52</c:v>
                </c:pt>
                <c:pt idx="63">
                  <c:v>1.73</c:v>
                </c:pt>
                <c:pt idx="64">
                  <c:v>1.86</c:v>
                </c:pt>
                <c:pt idx="65">
                  <c:v>1.91</c:v>
                </c:pt>
                <c:pt idx="66">
                  <c:v>1.81</c:v>
                </c:pt>
                <c:pt idx="67">
                  <c:v>1.57</c:v>
                </c:pt>
                <c:pt idx="68">
                  <c:v>1.57</c:v>
                </c:pt>
                <c:pt idx="69">
                  <c:v>1.64</c:v>
                </c:pt>
                <c:pt idx="70">
                  <c:v>1.6</c:v>
                </c:pt>
                <c:pt idx="71">
                  <c:v>1.72</c:v>
                </c:pt>
                <c:pt idx="72">
                  <c:v>1.77</c:v>
                </c:pt>
                <c:pt idx="73">
                  <c:v>1.85</c:v>
                </c:pt>
                <c:pt idx="74">
                  <c:v>2</c:v>
                </c:pt>
                <c:pt idx="75">
                  <c:v>2.04</c:v>
                </c:pt>
                <c:pt idx="76">
                  <c:v>1.96</c:v>
                </c:pt>
                <c:pt idx="77">
                  <c:v>1.71</c:v>
                </c:pt>
                <c:pt idx="78">
                  <c:v>1.55</c:v>
                </c:pt>
                <c:pt idx="79">
                  <c:v>1.72</c:v>
                </c:pt>
                <c:pt idx="80">
                  <c:v>1.66</c:v>
                </c:pt>
                <c:pt idx="81">
                  <c:v>1.57</c:v>
                </c:pt>
                <c:pt idx="82">
                  <c:v>1.45</c:v>
                </c:pt>
                <c:pt idx="83">
                  <c:v>1.36</c:v>
                </c:pt>
                <c:pt idx="84">
                  <c:v>1.45</c:v>
                </c:pt>
                <c:pt idx="85">
                  <c:v>1.48</c:v>
                </c:pt>
                <c:pt idx="86">
                  <c:v>1.52</c:v>
                </c:pt>
                <c:pt idx="87">
                  <c:v>1.44</c:v>
                </c:pt>
                <c:pt idx="88">
                  <c:v>1.57</c:v>
                </c:pt>
                <c:pt idx="89">
                  <c:v>1.54</c:v>
                </c:pt>
                <c:pt idx="90">
                  <c:v>1.48</c:v>
                </c:pt>
                <c:pt idx="91">
                  <c:v>1.49</c:v>
                </c:pt>
                <c:pt idx="92">
                  <c:v>1.43</c:v>
                </c:pt>
                <c:pt idx="93">
                  <c:v>1.44</c:v>
                </c:pt>
                <c:pt idx="94">
                  <c:v>1.45</c:v>
                </c:pt>
                <c:pt idx="95">
                  <c:v>1.42</c:v>
                </c:pt>
                <c:pt idx="96">
                  <c:v>1.36</c:v>
                </c:pt>
                <c:pt idx="97">
                  <c:v>1.35</c:v>
                </c:pt>
                <c:pt idx="98">
                  <c:v>1.44</c:v>
                </c:pt>
                <c:pt idx="99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D2-4616-8CBE-0B87927A8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801392"/>
        <c:axId val="689803792"/>
      </c:lineChart>
      <c:catAx>
        <c:axId val="6898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03792"/>
        <c:crosses val="autoZero"/>
        <c:auto val="1"/>
        <c:lblAlgn val="ctr"/>
        <c:lblOffset val="100"/>
        <c:noMultiLvlLbl val="0"/>
      </c:catAx>
      <c:valAx>
        <c:axId val="6898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0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1"/>
          <c:order val="0"/>
          <c:tx>
            <c:strRef>
              <c:f>'Perhitungan Lengkap'!$B$14</c:f>
              <c:strCache>
                <c:ptCount val="1"/>
                <c:pt idx="0">
                  <c:v>Bijih Krom (USD/dmt)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Lengkap'!$C$14:$CX$14</c:f>
              <c:numCache>
                <c:formatCode>General</c:formatCode>
                <c:ptCount val="100"/>
                <c:pt idx="0">
                  <c:v>5.14</c:v>
                </c:pt>
                <c:pt idx="1">
                  <c:v>3.71</c:v>
                </c:pt>
                <c:pt idx="2">
                  <c:v>3.27</c:v>
                </c:pt>
                <c:pt idx="3">
                  <c:v>3.46</c:v>
                </c:pt>
                <c:pt idx="4">
                  <c:v>4.1399999999999997</c:v>
                </c:pt>
                <c:pt idx="5">
                  <c:v>4.41</c:v>
                </c:pt>
                <c:pt idx="6">
                  <c:v>4.3899999999999997</c:v>
                </c:pt>
                <c:pt idx="7">
                  <c:v>4.08</c:v>
                </c:pt>
                <c:pt idx="8">
                  <c:v>3.85</c:v>
                </c:pt>
                <c:pt idx="9">
                  <c:v>3.87</c:v>
                </c:pt>
                <c:pt idx="10">
                  <c:v>3.53</c:v>
                </c:pt>
                <c:pt idx="11">
                  <c:v>3.41</c:v>
                </c:pt>
                <c:pt idx="12">
                  <c:v>3.68</c:v>
                </c:pt>
                <c:pt idx="13">
                  <c:v>3.87</c:v>
                </c:pt>
                <c:pt idx="14">
                  <c:v>4.22</c:v>
                </c:pt>
                <c:pt idx="15">
                  <c:v>4.16</c:v>
                </c:pt>
                <c:pt idx="16">
                  <c:v>4.17</c:v>
                </c:pt>
                <c:pt idx="17">
                  <c:v>4.49</c:v>
                </c:pt>
                <c:pt idx="18">
                  <c:v>4.08</c:v>
                </c:pt>
                <c:pt idx="19">
                  <c:v>3.97</c:v>
                </c:pt>
                <c:pt idx="20">
                  <c:v>3.83</c:v>
                </c:pt>
                <c:pt idx="21">
                  <c:v>3.22</c:v>
                </c:pt>
                <c:pt idx="22">
                  <c:v>2.85</c:v>
                </c:pt>
                <c:pt idx="23">
                  <c:v>2.83</c:v>
                </c:pt>
                <c:pt idx="24">
                  <c:v>2.86</c:v>
                </c:pt>
                <c:pt idx="25">
                  <c:v>2.71</c:v>
                </c:pt>
                <c:pt idx="26">
                  <c:v>2.5099999999999998</c:v>
                </c:pt>
                <c:pt idx="27">
                  <c:v>2.5099999999999998</c:v>
                </c:pt>
                <c:pt idx="28">
                  <c:v>2.56</c:v>
                </c:pt>
                <c:pt idx="29">
                  <c:v>2.4500000000000002</c:v>
                </c:pt>
                <c:pt idx="30">
                  <c:v>2.1800000000000002</c:v>
                </c:pt>
                <c:pt idx="31">
                  <c:v>2.4300000000000002</c:v>
                </c:pt>
                <c:pt idx="32">
                  <c:v>2.65</c:v>
                </c:pt>
                <c:pt idx="33">
                  <c:v>2.57</c:v>
                </c:pt>
                <c:pt idx="34">
                  <c:v>2.2000000000000002</c:v>
                </c:pt>
                <c:pt idx="35">
                  <c:v>2.25</c:v>
                </c:pt>
                <c:pt idx="36">
                  <c:v>2.34</c:v>
                </c:pt>
                <c:pt idx="37">
                  <c:v>2.2999999999999998</c:v>
                </c:pt>
                <c:pt idx="38">
                  <c:v>2.2799999999999998</c:v>
                </c:pt>
                <c:pt idx="39">
                  <c:v>2.42</c:v>
                </c:pt>
                <c:pt idx="40">
                  <c:v>2.89</c:v>
                </c:pt>
                <c:pt idx="41">
                  <c:v>3.53</c:v>
                </c:pt>
                <c:pt idx="42">
                  <c:v>3.48</c:v>
                </c:pt>
                <c:pt idx="43">
                  <c:v>3.24</c:v>
                </c:pt>
                <c:pt idx="44">
                  <c:v>3.28</c:v>
                </c:pt>
                <c:pt idx="45">
                  <c:v>3.39</c:v>
                </c:pt>
                <c:pt idx="46">
                  <c:v>3.39</c:v>
                </c:pt>
                <c:pt idx="47">
                  <c:v>3.39</c:v>
                </c:pt>
                <c:pt idx="48">
                  <c:v>3.39</c:v>
                </c:pt>
                <c:pt idx="49">
                  <c:v>3.39</c:v>
                </c:pt>
                <c:pt idx="50">
                  <c:v>3.39</c:v>
                </c:pt>
                <c:pt idx="51">
                  <c:v>3.39</c:v>
                </c:pt>
                <c:pt idx="52">
                  <c:v>3.45</c:v>
                </c:pt>
                <c:pt idx="53">
                  <c:v>4.17</c:v>
                </c:pt>
                <c:pt idx="54">
                  <c:v>4.6500000000000004</c:v>
                </c:pt>
                <c:pt idx="55">
                  <c:v>5.76</c:v>
                </c:pt>
                <c:pt idx="56">
                  <c:v>5.89</c:v>
                </c:pt>
                <c:pt idx="57">
                  <c:v>5.65</c:v>
                </c:pt>
                <c:pt idx="58">
                  <c:v>4.62</c:v>
                </c:pt>
                <c:pt idx="59">
                  <c:v>3.74</c:v>
                </c:pt>
                <c:pt idx="60">
                  <c:v>3.84</c:v>
                </c:pt>
                <c:pt idx="61">
                  <c:v>4.04</c:v>
                </c:pt>
                <c:pt idx="62">
                  <c:v>3.92</c:v>
                </c:pt>
                <c:pt idx="63">
                  <c:v>4.3499999999999996</c:v>
                </c:pt>
                <c:pt idx="64">
                  <c:v>5.03</c:v>
                </c:pt>
                <c:pt idx="65">
                  <c:v>5.18</c:v>
                </c:pt>
                <c:pt idx="66">
                  <c:v>5.08</c:v>
                </c:pt>
                <c:pt idx="67">
                  <c:v>5.29</c:v>
                </c:pt>
                <c:pt idx="68">
                  <c:v>5.9</c:v>
                </c:pt>
                <c:pt idx="69">
                  <c:v>6.13</c:v>
                </c:pt>
                <c:pt idx="70">
                  <c:v>6.1</c:v>
                </c:pt>
                <c:pt idx="71">
                  <c:v>6.21</c:v>
                </c:pt>
                <c:pt idx="72">
                  <c:v>6.37</c:v>
                </c:pt>
                <c:pt idx="73">
                  <c:v>6.35</c:v>
                </c:pt>
                <c:pt idx="74">
                  <c:v>6.32</c:v>
                </c:pt>
                <c:pt idx="75">
                  <c:v>6.37</c:v>
                </c:pt>
                <c:pt idx="76">
                  <c:v>6.37</c:v>
                </c:pt>
                <c:pt idx="77">
                  <c:v>6.37</c:v>
                </c:pt>
                <c:pt idx="78">
                  <c:v>6.37</c:v>
                </c:pt>
                <c:pt idx="79">
                  <c:v>6.37</c:v>
                </c:pt>
                <c:pt idx="80">
                  <c:v>6.37</c:v>
                </c:pt>
                <c:pt idx="81">
                  <c:v>6.37</c:v>
                </c:pt>
                <c:pt idx="82">
                  <c:v>6.37</c:v>
                </c:pt>
                <c:pt idx="83">
                  <c:v>6.37</c:v>
                </c:pt>
                <c:pt idx="84">
                  <c:v>6.37</c:v>
                </c:pt>
                <c:pt idx="85">
                  <c:v>6.37</c:v>
                </c:pt>
                <c:pt idx="86">
                  <c:v>6.37</c:v>
                </c:pt>
                <c:pt idx="87">
                  <c:v>6.37</c:v>
                </c:pt>
                <c:pt idx="88">
                  <c:v>6.37</c:v>
                </c:pt>
                <c:pt idx="89">
                  <c:v>6.37</c:v>
                </c:pt>
                <c:pt idx="90">
                  <c:v>6.37</c:v>
                </c:pt>
                <c:pt idx="91">
                  <c:v>6.37</c:v>
                </c:pt>
                <c:pt idx="92">
                  <c:v>6.37</c:v>
                </c:pt>
                <c:pt idx="93">
                  <c:v>6.37</c:v>
                </c:pt>
                <c:pt idx="94">
                  <c:v>6.37</c:v>
                </c:pt>
                <c:pt idx="95">
                  <c:v>6.37</c:v>
                </c:pt>
                <c:pt idx="96">
                  <c:v>6.37</c:v>
                </c:pt>
                <c:pt idx="97">
                  <c:v>6.37</c:v>
                </c:pt>
                <c:pt idx="98">
                  <c:v>6.37</c:v>
                </c:pt>
                <c:pt idx="99">
                  <c:v>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F83-423E-AA3B-7FDD21BB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1680"/>
        <c:axId val="6973120"/>
      </c:lineChart>
      <c:catAx>
        <c:axId val="69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120"/>
        <c:crosses val="autoZero"/>
        <c:auto val="1"/>
        <c:lblAlgn val="ctr"/>
        <c:lblOffset val="100"/>
        <c:noMultiLvlLbl val="0"/>
      </c:catAx>
      <c:valAx>
        <c:axId val="69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2"/>
          <c:order val="0"/>
          <c:tx>
            <c:strRef>
              <c:f>'Perhitungan Lengkap'!$B$15</c:f>
              <c:strCache>
                <c:ptCount val="1"/>
                <c:pt idx="0">
                  <c:v>Konsentrat Titanium (USD/dmt)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Lengkap'!$C$15:$CX$15</c:f>
              <c:numCache>
                <c:formatCode>General</c:formatCode>
                <c:ptCount val="100"/>
                <c:pt idx="0">
                  <c:v>10.38</c:v>
                </c:pt>
                <c:pt idx="1">
                  <c:v>10.46</c:v>
                </c:pt>
                <c:pt idx="2">
                  <c:v>10.54</c:v>
                </c:pt>
                <c:pt idx="3">
                  <c:v>10.59</c:v>
                </c:pt>
                <c:pt idx="4">
                  <c:v>10.81</c:v>
                </c:pt>
                <c:pt idx="5">
                  <c:v>10.79</c:v>
                </c:pt>
                <c:pt idx="6">
                  <c:v>10.83</c:v>
                </c:pt>
                <c:pt idx="7">
                  <c:v>10.61</c:v>
                </c:pt>
                <c:pt idx="8">
                  <c:v>10.3</c:v>
                </c:pt>
                <c:pt idx="9">
                  <c:v>9.85</c:v>
                </c:pt>
                <c:pt idx="10">
                  <c:v>9.51</c:v>
                </c:pt>
                <c:pt idx="11">
                  <c:v>9.48</c:v>
                </c:pt>
                <c:pt idx="12">
                  <c:v>9.3800000000000008</c:v>
                </c:pt>
                <c:pt idx="13">
                  <c:v>9.31</c:v>
                </c:pt>
                <c:pt idx="14">
                  <c:v>9.32</c:v>
                </c:pt>
                <c:pt idx="15">
                  <c:v>9.35</c:v>
                </c:pt>
                <c:pt idx="16">
                  <c:v>9.42</c:v>
                </c:pt>
                <c:pt idx="17">
                  <c:v>9.4499999999999993</c:v>
                </c:pt>
                <c:pt idx="18">
                  <c:v>9.49</c:v>
                </c:pt>
                <c:pt idx="19">
                  <c:v>9.51</c:v>
                </c:pt>
                <c:pt idx="20">
                  <c:v>9.5399999999999991</c:v>
                </c:pt>
                <c:pt idx="21">
                  <c:v>9.7799999999999994</c:v>
                </c:pt>
                <c:pt idx="22">
                  <c:v>9.9700000000000006</c:v>
                </c:pt>
                <c:pt idx="23">
                  <c:v>9.76</c:v>
                </c:pt>
                <c:pt idx="24">
                  <c:v>10.17</c:v>
                </c:pt>
                <c:pt idx="25">
                  <c:v>10.45</c:v>
                </c:pt>
                <c:pt idx="26">
                  <c:v>10.67</c:v>
                </c:pt>
                <c:pt idx="27">
                  <c:v>10.84</c:v>
                </c:pt>
                <c:pt idx="28">
                  <c:v>10.52</c:v>
                </c:pt>
                <c:pt idx="29">
                  <c:v>10.52</c:v>
                </c:pt>
                <c:pt idx="30">
                  <c:v>10.28</c:v>
                </c:pt>
                <c:pt idx="31">
                  <c:v>9.94</c:v>
                </c:pt>
                <c:pt idx="32">
                  <c:v>9.6999999999999993</c:v>
                </c:pt>
                <c:pt idx="33">
                  <c:v>9.3800000000000008</c:v>
                </c:pt>
                <c:pt idx="34">
                  <c:v>9.06</c:v>
                </c:pt>
                <c:pt idx="35">
                  <c:v>9.0500000000000007</c:v>
                </c:pt>
                <c:pt idx="36">
                  <c:v>8.98</c:v>
                </c:pt>
                <c:pt idx="37">
                  <c:v>8.98</c:v>
                </c:pt>
                <c:pt idx="38">
                  <c:v>9.24</c:v>
                </c:pt>
                <c:pt idx="39">
                  <c:v>9.8000000000000007</c:v>
                </c:pt>
                <c:pt idx="40">
                  <c:v>11.1</c:v>
                </c:pt>
                <c:pt idx="41">
                  <c:v>11.52</c:v>
                </c:pt>
                <c:pt idx="42">
                  <c:v>11.88</c:v>
                </c:pt>
                <c:pt idx="43">
                  <c:v>12.68</c:v>
                </c:pt>
                <c:pt idx="44">
                  <c:v>13.18</c:v>
                </c:pt>
                <c:pt idx="45">
                  <c:v>13.19</c:v>
                </c:pt>
                <c:pt idx="46">
                  <c:v>13.08</c:v>
                </c:pt>
                <c:pt idx="47">
                  <c:v>13.15</c:v>
                </c:pt>
                <c:pt idx="48">
                  <c:v>13.42</c:v>
                </c:pt>
                <c:pt idx="49">
                  <c:v>14.25</c:v>
                </c:pt>
                <c:pt idx="50">
                  <c:v>15.42</c:v>
                </c:pt>
                <c:pt idx="51">
                  <c:v>15.6</c:v>
                </c:pt>
                <c:pt idx="52">
                  <c:v>15.78</c:v>
                </c:pt>
                <c:pt idx="53">
                  <c:v>16.12</c:v>
                </c:pt>
                <c:pt idx="54">
                  <c:v>16.47</c:v>
                </c:pt>
                <c:pt idx="55">
                  <c:v>16.829999999999998</c:v>
                </c:pt>
                <c:pt idx="56">
                  <c:v>17.27</c:v>
                </c:pt>
                <c:pt idx="57">
                  <c:v>17.16</c:v>
                </c:pt>
                <c:pt idx="58">
                  <c:v>16.22</c:v>
                </c:pt>
                <c:pt idx="59">
                  <c:v>15.33</c:v>
                </c:pt>
                <c:pt idx="60">
                  <c:v>14.32</c:v>
                </c:pt>
                <c:pt idx="61">
                  <c:v>14.09</c:v>
                </c:pt>
                <c:pt idx="62">
                  <c:v>14.2</c:v>
                </c:pt>
                <c:pt idx="63">
                  <c:v>14.74</c:v>
                </c:pt>
                <c:pt idx="64">
                  <c:v>14.73</c:v>
                </c:pt>
                <c:pt idx="65">
                  <c:v>14.73</c:v>
                </c:pt>
                <c:pt idx="66">
                  <c:v>14.86</c:v>
                </c:pt>
                <c:pt idx="67">
                  <c:v>14.9</c:v>
                </c:pt>
                <c:pt idx="68">
                  <c:v>13.66</c:v>
                </c:pt>
                <c:pt idx="69">
                  <c:v>12.79</c:v>
                </c:pt>
                <c:pt idx="70">
                  <c:v>12.66</c:v>
                </c:pt>
                <c:pt idx="71">
                  <c:v>12.4</c:v>
                </c:pt>
                <c:pt idx="72">
                  <c:v>12.18</c:v>
                </c:pt>
                <c:pt idx="73">
                  <c:v>12.03</c:v>
                </c:pt>
                <c:pt idx="74">
                  <c:v>12.19</c:v>
                </c:pt>
                <c:pt idx="75">
                  <c:v>12.24</c:v>
                </c:pt>
                <c:pt idx="76">
                  <c:v>12.3</c:v>
                </c:pt>
                <c:pt idx="77">
                  <c:v>12.21</c:v>
                </c:pt>
                <c:pt idx="78">
                  <c:v>12.13</c:v>
                </c:pt>
                <c:pt idx="79">
                  <c:v>12.18</c:v>
                </c:pt>
                <c:pt idx="80">
                  <c:v>12.28</c:v>
                </c:pt>
                <c:pt idx="81">
                  <c:v>11.94</c:v>
                </c:pt>
                <c:pt idx="82">
                  <c:v>11.79</c:v>
                </c:pt>
                <c:pt idx="83">
                  <c:v>11.7</c:v>
                </c:pt>
                <c:pt idx="84">
                  <c:v>11.64</c:v>
                </c:pt>
                <c:pt idx="85">
                  <c:v>11.12</c:v>
                </c:pt>
                <c:pt idx="86">
                  <c:v>10.67</c:v>
                </c:pt>
                <c:pt idx="87">
                  <c:v>10.65</c:v>
                </c:pt>
                <c:pt idx="88">
                  <c:v>10.74</c:v>
                </c:pt>
                <c:pt idx="89">
                  <c:v>10.74</c:v>
                </c:pt>
                <c:pt idx="90">
                  <c:v>10.77</c:v>
                </c:pt>
                <c:pt idx="91">
                  <c:v>10.72</c:v>
                </c:pt>
                <c:pt idx="92">
                  <c:v>10.67</c:v>
                </c:pt>
                <c:pt idx="93">
                  <c:v>10.71</c:v>
                </c:pt>
                <c:pt idx="94">
                  <c:v>10.81</c:v>
                </c:pt>
                <c:pt idx="95">
                  <c:v>10.84</c:v>
                </c:pt>
                <c:pt idx="96">
                  <c:v>10.86</c:v>
                </c:pt>
                <c:pt idx="97">
                  <c:v>10.87</c:v>
                </c:pt>
                <c:pt idx="98">
                  <c:v>10.28</c:v>
                </c:pt>
                <c:pt idx="99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CE4-4DA0-AACA-E39EDCA8C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84144"/>
        <c:axId val="653379824"/>
      </c:lineChart>
      <c:catAx>
        <c:axId val="6533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79824"/>
        <c:crosses val="autoZero"/>
        <c:auto val="1"/>
        <c:lblAlgn val="ctr"/>
        <c:lblOffset val="100"/>
        <c:noMultiLvlLbl val="0"/>
      </c:catAx>
      <c:valAx>
        <c:axId val="6533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8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'Perhitungan Lengkap'!$B$3</c:f>
              <c:strCache>
                <c:ptCount val="1"/>
                <c:pt idx="0">
                  <c:v>Batubara (USD/ton)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'Perhitungan Lengkap'!$C$2:$CX$2</c:f>
              <c:strCache>
                <c:ptCount val="100"/>
                <c:pt idx="0">
                  <c:v>Nov-17</c:v>
                </c:pt>
                <c:pt idx="1">
                  <c:v>Desember 2017</c:v>
                </c:pt>
                <c:pt idx="2">
                  <c:v>Januari 2018</c:v>
                </c:pt>
                <c:pt idx="3">
                  <c:v>Februari 2018</c:v>
                </c:pt>
                <c:pt idx="4">
                  <c:v>Maret 2018</c:v>
                </c:pt>
                <c:pt idx="5">
                  <c:v>Apr-18</c:v>
                </c:pt>
                <c:pt idx="6">
                  <c:v>Mei 2018</c:v>
                </c:pt>
                <c:pt idx="7">
                  <c:v>Juni 2018</c:v>
                </c:pt>
                <c:pt idx="8">
                  <c:v>Juli 2018</c:v>
                </c:pt>
                <c:pt idx="9">
                  <c:v>Agustus 2018</c:v>
                </c:pt>
                <c:pt idx="10">
                  <c:v>Sep-18</c:v>
                </c:pt>
                <c:pt idx="11">
                  <c:v>Oktober 2018</c:v>
                </c:pt>
                <c:pt idx="12">
                  <c:v>Nov-18</c:v>
                </c:pt>
                <c:pt idx="13">
                  <c:v>Desember 2018</c:v>
                </c:pt>
                <c:pt idx="14">
                  <c:v>Januari 2019</c:v>
                </c:pt>
                <c:pt idx="15">
                  <c:v>Februari 2019</c:v>
                </c:pt>
                <c:pt idx="16">
                  <c:v>Maret 2019</c:v>
                </c:pt>
                <c:pt idx="17">
                  <c:v>Apr-19</c:v>
                </c:pt>
                <c:pt idx="18">
                  <c:v>Mei 2019</c:v>
                </c:pt>
                <c:pt idx="19">
                  <c:v>Juni 2019</c:v>
                </c:pt>
                <c:pt idx="20">
                  <c:v>Juli 2019</c:v>
                </c:pt>
                <c:pt idx="21">
                  <c:v>Agustus 2019</c:v>
                </c:pt>
                <c:pt idx="22">
                  <c:v>Sep-19</c:v>
                </c:pt>
                <c:pt idx="23">
                  <c:v>Oktober 2019</c:v>
                </c:pt>
                <c:pt idx="24">
                  <c:v>Nov-19</c:v>
                </c:pt>
                <c:pt idx="25">
                  <c:v>Desember 2019</c:v>
                </c:pt>
                <c:pt idx="26">
                  <c:v>Januari 2020</c:v>
                </c:pt>
                <c:pt idx="27">
                  <c:v>Februari 2020</c:v>
                </c:pt>
                <c:pt idx="28">
                  <c:v>Maret 2020</c:v>
                </c:pt>
                <c:pt idx="29">
                  <c:v>Apr-20</c:v>
                </c:pt>
                <c:pt idx="30">
                  <c:v>Mei 2020</c:v>
                </c:pt>
                <c:pt idx="31">
                  <c:v>Juni 2020</c:v>
                </c:pt>
                <c:pt idx="32">
                  <c:v>Juli 2020</c:v>
                </c:pt>
                <c:pt idx="33">
                  <c:v>Agustus 2020</c:v>
                </c:pt>
                <c:pt idx="34">
                  <c:v>Sep-20</c:v>
                </c:pt>
                <c:pt idx="35">
                  <c:v>Oktober 2020</c:v>
                </c:pt>
                <c:pt idx="36">
                  <c:v>Nov-20</c:v>
                </c:pt>
                <c:pt idx="37">
                  <c:v>Desember 2020</c:v>
                </c:pt>
                <c:pt idx="38">
                  <c:v>Januari 2021</c:v>
                </c:pt>
                <c:pt idx="39">
                  <c:v>Februari 2021</c:v>
                </c:pt>
                <c:pt idx="40">
                  <c:v>Maret 2021</c:v>
                </c:pt>
                <c:pt idx="41">
                  <c:v>Apr-21</c:v>
                </c:pt>
                <c:pt idx="42">
                  <c:v>Mei 2021</c:v>
                </c:pt>
                <c:pt idx="43">
                  <c:v>Juni 2021</c:v>
                </c:pt>
                <c:pt idx="44">
                  <c:v>Juli 2021</c:v>
                </c:pt>
                <c:pt idx="45">
                  <c:v>Agustus 2021</c:v>
                </c:pt>
                <c:pt idx="46">
                  <c:v>Sep-21</c:v>
                </c:pt>
                <c:pt idx="47">
                  <c:v>Oktober 2021</c:v>
                </c:pt>
                <c:pt idx="48">
                  <c:v>Nov-21</c:v>
                </c:pt>
                <c:pt idx="49">
                  <c:v>Desember 2021</c:v>
                </c:pt>
                <c:pt idx="50">
                  <c:v>Januari 2022</c:v>
                </c:pt>
                <c:pt idx="51">
                  <c:v>Februari 2022</c:v>
                </c:pt>
                <c:pt idx="52">
                  <c:v>Maret 2022</c:v>
                </c:pt>
                <c:pt idx="53">
                  <c:v>Apr-22</c:v>
                </c:pt>
                <c:pt idx="54">
                  <c:v>Mei 2022</c:v>
                </c:pt>
                <c:pt idx="55">
                  <c:v>Juni 2022</c:v>
                </c:pt>
                <c:pt idx="56">
                  <c:v>Juli 2022</c:v>
                </c:pt>
                <c:pt idx="57">
                  <c:v>Agustus 2022</c:v>
                </c:pt>
                <c:pt idx="58">
                  <c:v>Sep-22</c:v>
                </c:pt>
                <c:pt idx="59">
                  <c:v>Oktober 2022</c:v>
                </c:pt>
                <c:pt idx="60">
                  <c:v>Nov-22</c:v>
                </c:pt>
                <c:pt idx="61">
                  <c:v>Desember 2022</c:v>
                </c:pt>
                <c:pt idx="62">
                  <c:v>Januari 2023</c:v>
                </c:pt>
                <c:pt idx="63">
                  <c:v>Februari 2023</c:v>
                </c:pt>
                <c:pt idx="64">
                  <c:v>Maret 2023</c:v>
                </c:pt>
                <c:pt idx="65">
                  <c:v>Apr-23</c:v>
                </c:pt>
                <c:pt idx="66">
                  <c:v>Mei 2023</c:v>
                </c:pt>
                <c:pt idx="67">
                  <c:v>Juni 2023</c:v>
                </c:pt>
                <c:pt idx="68">
                  <c:v>Juli 2023</c:v>
                </c:pt>
                <c:pt idx="69">
                  <c:v>Agustus 2023</c:v>
                </c:pt>
                <c:pt idx="70">
                  <c:v>Sep-23</c:v>
                </c:pt>
                <c:pt idx="71">
                  <c:v>Oktober 2023</c:v>
                </c:pt>
                <c:pt idx="72">
                  <c:v>Nov-23</c:v>
                </c:pt>
                <c:pt idx="73">
                  <c:v>Desember 2023</c:v>
                </c:pt>
                <c:pt idx="74">
                  <c:v>Januari 2024</c:v>
                </c:pt>
                <c:pt idx="75">
                  <c:v>Februari 2024</c:v>
                </c:pt>
                <c:pt idx="76">
                  <c:v>Maret 2024</c:v>
                </c:pt>
                <c:pt idx="77">
                  <c:v>Apr-24</c:v>
                </c:pt>
                <c:pt idx="78">
                  <c:v>Mei 2024</c:v>
                </c:pt>
                <c:pt idx="79">
                  <c:v>Juni 2024</c:v>
                </c:pt>
                <c:pt idx="80">
                  <c:v>Juli 2024</c:v>
                </c:pt>
                <c:pt idx="81">
                  <c:v>Agustus 2024</c:v>
                </c:pt>
                <c:pt idx="82">
                  <c:v>Sep-24</c:v>
                </c:pt>
                <c:pt idx="83">
                  <c:v>Oktober 2024</c:v>
                </c:pt>
                <c:pt idx="84">
                  <c:v>Nov-24</c:v>
                </c:pt>
                <c:pt idx="85">
                  <c:v>Desember 2024</c:v>
                </c:pt>
                <c:pt idx="86">
                  <c:v>Januari 2025</c:v>
                </c:pt>
                <c:pt idx="87">
                  <c:v>Februari 2025</c:v>
                </c:pt>
                <c:pt idx="88">
                  <c:v>Maret 2025 (Periode Pertama)</c:v>
                </c:pt>
                <c:pt idx="89">
                  <c:v>Maret 2025 (Periode Kedua)</c:v>
                </c:pt>
                <c:pt idx="90">
                  <c:v>April 2025 (Periode Pertama)</c:v>
                </c:pt>
                <c:pt idx="91">
                  <c:v>April 2025 (Periode Kedua)</c:v>
                </c:pt>
                <c:pt idx="92">
                  <c:v>Mei 2025 (Periode Pertama)</c:v>
                </c:pt>
                <c:pt idx="93">
                  <c:v>Mei 2025 (Periode Kedua)</c:v>
                </c:pt>
                <c:pt idx="94">
                  <c:v>Juni 2025 (Periode Pertama)</c:v>
                </c:pt>
                <c:pt idx="95">
                  <c:v>Juni 2025 (Periode Kedua)</c:v>
                </c:pt>
                <c:pt idx="96">
                  <c:v>Juli 2025 (Periode Pertama)</c:v>
                </c:pt>
                <c:pt idx="97">
                  <c:v>Juli 2025 (Periode Kedua)</c:v>
                </c:pt>
                <c:pt idx="98">
                  <c:v>Agustus 2025 (Periode Pertama)</c:v>
                </c:pt>
                <c:pt idx="99">
                  <c:v>Agustus 2025 (Periode Kedua)</c:v>
                </c:pt>
              </c:strCache>
            </c:strRef>
          </c:cat>
          <c:val>
            <c:numRef>
              <c:f>'Perhitungan Lengkap'!$C$3:$CX$3</c:f>
              <c:numCache>
                <c:formatCode>General</c:formatCode>
                <c:ptCount val="100"/>
                <c:pt idx="0">
                  <c:v>94.8</c:v>
                </c:pt>
                <c:pt idx="1">
                  <c:v>94.04</c:v>
                </c:pt>
                <c:pt idx="2">
                  <c:v>95.54</c:v>
                </c:pt>
                <c:pt idx="3">
                  <c:v>100.69</c:v>
                </c:pt>
                <c:pt idx="4">
                  <c:v>101.86</c:v>
                </c:pt>
                <c:pt idx="5">
                  <c:v>94.75</c:v>
                </c:pt>
                <c:pt idx="6">
                  <c:v>89.53</c:v>
                </c:pt>
                <c:pt idx="7">
                  <c:v>96.61</c:v>
                </c:pt>
                <c:pt idx="8">
                  <c:v>104.65</c:v>
                </c:pt>
                <c:pt idx="9">
                  <c:v>107.83</c:v>
                </c:pt>
                <c:pt idx="10">
                  <c:v>104.81</c:v>
                </c:pt>
                <c:pt idx="11">
                  <c:v>100.89</c:v>
                </c:pt>
                <c:pt idx="12">
                  <c:v>97.9</c:v>
                </c:pt>
                <c:pt idx="13">
                  <c:v>92.51</c:v>
                </c:pt>
                <c:pt idx="14">
                  <c:v>92.41</c:v>
                </c:pt>
                <c:pt idx="15">
                  <c:v>91.8</c:v>
                </c:pt>
                <c:pt idx="16">
                  <c:v>90.57</c:v>
                </c:pt>
                <c:pt idx="17">
                  <c:v>88.85</c:v>
                </c:pt>
                <c:pt idx="18">
                  <c:v>81.86</c:v>
                </c:pt>
                <c:pt idx="19">
                  <c:v>81.48</c:v>
                </c:pt>
                <c:pt idx="20">
                  <c:v>71.92</c:v>
                </c:pt>
                <c:pt idx="21">
                  <c:v>72.67</c:v>
                </c:pt>
                <c:pt idx="22">
                  <c:v>65.790000000000006</c:v>
                </c:pt>
                <c:pt idx="23">
                  <c:v>64.8</c:v>
                </c:pt>
                <c:pt idx="24">
                  <c:v>66.27</c:v>
                </c:pt>
                <c:pt idx="25">
                  <c:v>66.3</c:v>
                </c:pt>
                <c:pt idx="26">
                  <c:v>65.930000000000007</c:v>
                </c:pt>
                <c:pt idx="27">
                  <c:v>66.89</c:v>
                </c:pt>
                <c:pt idx="28">
                  <c:v>67.08</c:v>
                </c:pt>
                <c:pt idx="29">
                  <c:v>65.77</c:v>
                </c:pt>
                <c:pt idx="30">
                  <c:v>61.11</c:v>
                </c:pt>
                <c:pt idx="31">
                  <c:v>52.98</c:v>
                </c:pt>
                <c:pt idx="32">
                  <c:v>52.16</c:v>
                </c:pt>
                <c:pt idx="33">
                  <c:v>50.34</c:v>
                </c:pt>
                <c:pt idx="34">
                  <c:v>49.42</c:v>
                </c:pt>
                <c:pt idx="35">
                  <c:v>51</c:v>
                </c:pt>
                <c:pt idx="36">
                  <c:v>55.71</c:v>
                </c:pt>
                <c:pt idx="37">
                  <c:v>59.65</c:v>
                </c:pt>
                <c:pt idx="38">
                  <c:v>75.84</c:v>
                </c:pt>
                <c:pt idx="39">
                  <c:v>87.79</c:v>
                </c:pt>
                <c:pt idx="40">
                  <c:v>84.47</c:v>
                </c:pt>
                <c:pt idx="41">
                  <c:v>86.68</c:v>
                </c:pt>
                <c:pt idx="42">
                  <c:v>89.74</c:v>
                </c:pt>
                <c:pt idx="43">
                  <c:v>100.33</c:v>
                </c:pt>
                <c:pt idx="44">
                  <c:v>115.35</c:v>
                </c:pt>
                <c:pt idx="45">
                  <c:v>130.99</c:v>
                </c:pt>
                <c:pt idx="46">
                  <c:v>150.03</c:v>
                </c:pt>
                <c:pt idx="47">
                  <c:v>161.63</c:v>
                </c:pt>
                <c:pt idx="48">
                  <c:v>215.01</c:v>
                </c:pt>
                <c:pt idx="49">
                  <c:v>159.79</c:v>
                </c:pt>
                <c:pt idx="50">
                  <c:v>158.5</c:v>
                </c:pt>
                <c:pt idx="51">
                  <c:v>188.38</c:v>
                </c:pt>
                <c:pt idx="52">
                  <c:v>203.69</c:v>
                </c:pt>
                <c:pt idx="53">
                  <c:v>288.39999999999998</c:v>
                </c:pt>
                <c:pt idx="54">
                  <c:v>275.64</c:v>
                </c:pt>
                <c:pt idx="55">
                  <c:v>323.91000000000003</c:v>
                </c:pt>
                <c:pt idx="56">
                  <c:v>319</c:v>
                </c:pt>
                <c:pt idx="57">
                  <c:v>321.58999999999997</c:v>
                </c:pt>
                <c:pt idx="58">
                  <c:v>319.22000000000003</c:v>
                </c:pt>
                <c:pt idx="59">
                  <c:v>330.97</c:v>
                </c:pt>
                <c:pt idx="60">
                  <c:v>308.2</c:v>
                </c:pt>
                <c:pt idx="61">
                  <c:v>281.48</c:v>
                </c:pt>
                <c:pt idx="62">
                  <c:v>305.20999999999998</c:v>
                </c:pt>
                <c:pt idx="63">
                  <c:v>277.05</c:v>
                </c:pt>
                <c:pt idx="64">
                  <c:v>283.08</c:v>
                </c:pt>
                <c:pt idx="65">
                  <c:v>265.26</c:v>
                </c:pt>
                <c:pt idx="66">
                  <c:v>206.16</c:v>
                </c:pt>
                <c:pt idx="67">
                  <c:v>191.26</c:v>
                </c:pt>
                <c:pt idx="68">
                  <c:v>191.6</c:v>
                </c:pt>
                <c:pt idx="69">
                  <c:v>179.9</c:v>
                </c:pt>
                <c:pt idx="70">
                  <c:v>133.13</c:v>
                </c:pt>
                <c:pt idx="71">
                  <c:v>123.96</c:v>
                </c:pt>
                <c:pt idx="72">
                  <c:v>139.80000000000001</c:v>
                </c:pt>
                <c:pt idx="73">
                  <c:v>117.38</c:v>
                </c:pt>
                <c:pt idx="74">
                  <c:v>125.85</c:v>
                </c:pt>
                <c:pt idx="75">
                  <c:v>124.95</c:v>
                </c:pt>
                <c:pt idx="76">
                  <c:v>109.77</c:v>
                </c:pt>
                <c:pt idx="77">
                  <c:v>121.13</c:v>
                </c:pt>
                <c:pt idx="78">
                  <c:v>114.06</c:v>
                </c:pt>
                <c:pt idx="79">
                  <c:v>123</c:v>
                </c:pt>
                <c:pt idx="80">
                  <c:v>130.44</c:v>
                </c:pt>
                <c:pt idx="81">
                  <c:v>115.29</c:v>
                </c:pt>
                <c:pt idx="82">
                  <c:v>125.15</c:v>
                </c:pt>
                <c:pt idx="83">
                  <c:v>131.16999999999999</c:v>
                </c:pt>
                <c:pt idx="84">
                  <c:v>114.43</c:v>
                </c:pt>
                <c:pt idx="85">
                  <c:v>122.51</c:v>
                </c:pt>
                <c:pt idx="86">
                  <c:v>124.01</c:v>
                </c:pt>
                <c:pt idx="87">
                  <c:v>124.24</c:v>
                </c:pt>
                <c:pt idx="88">
                  <c:v>128.24</c:v>
                </c:pt>
                <c:pt idx="89">
                  <c:v>117.76</c:v>
                </c:pt>
                <c:pt idx="90">
                  <c:v>123.32</c:v>
                </c:pt>
                <c:pt idx="91">
                  <c:v>120.2</c:v>
                </c:pt>
                <c:pt idx="92">
                  <c:v>121.15</c:v>
                </c:pt>
                <c:pt idx="93">
                  <c:v>110.38</c:v>
                </c:pt>
                <c:pt idx="94">
                  <c:v>100.97</c:v>
                </c:pt>
                <c:pt idx="95">
                  <c:v>98.61</c:v>
                </c:pt>
                <c:pt idx="96">
                  <c:v>107.35</c:v>
                </c:pt>
                <c:pt idx="97">
                  <c:v>97.65</c:v>
                </c:pt>
                <c:pt idx="98">
                  <c:v>102.22</c:v>
                </c:pt>
                <c:pt idx="99">
                  <c:v>100.69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2-475F-B2BF-7A6727B9C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250656"/>
        <c:axId val="389256896"/>
      </c:lineChart>
      <c:catAx>
        <c:axId val="38925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56896"/>
        <c:crosses val="autoZero"/>
        <c:auto val="1"/>
        <c:lblAlgn val="ctr"/>
        <c:lblOffset val="100"/>
        <c:noMultiLvlLbl val="0"/>
      </c:catAx>
      <c:valAx>
        <c:axId val="3892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5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1028700</xdr:colOff>
      <xdr:row>17</xdr:row>
      <xdr:rowOff>107950</xdr:rowOff>
    </xdr:from>
    <xdr:to>
      <xdr:col>74</xdr:col>
      <xdr:colOff>1028700</xdr:colOff>
      <xdr:row>32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413C7-8F87-B516-E73A-8E4105EEE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1454150</xdr:colOff>
      <xdr:row>25</xdr:row>
      <xdr:rowOff>95250</xdr:rowOff>
    </xdr:from>
    <xdr:to>
      <xdr:col>75</xdr:col>
      <xdr:colOff>82550</xdr:colOff>
      <xdr:row>28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1E9A06-7926-4C52-3D01-B2ADF0DD0F00}"/>
            </a:ext>
          </a:extLst>
        </xdr:cNvPr>
        <xdr:cNvCxnSpPr/>
      </xdr:nvCxnSpPr>
      <xdr:spPr>
        <a:xfrm flipH="1">
          <a:off x="110401100" y="4889500"/>
          <a:ext cx="472440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97</xdr:col>
      <xdr:colOff>269875</xdr:colOff>
      <xdr:row>15</xdr:row>
      <xdr:rowOff>101600</xdr:rowOff>
    </xdr:from>
    <xdr:to>
      <xdr:col>103</xdr:col>
      <xdr:colOff>765175</xdr:colOff>
      <xdr:row>30</xdr:row>
      <xdr:rowOff>82550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992AA344-E65B-4F29-87AB-2AB0D7432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95250</xdr:colOff>
      <xdr:row>15</xdr:row>
      <xdr:rowOff>88900</xdr:rowOff>
    </xdr:from>
    <xdr:to>
      <xdr:col>108</xdr:col>
      <xdr:colOff>368300</xdr:colOff>
      <xdr:row>30</xdr:row>
      <xdr:rowOff>69850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30991609-C0C9-4F36-8225-4273ECEC48D4}"/>
            </a:ext>
            <a:ext uri="{147F2762-F138-4A5C-976F-8EAC2B608ADB}">
              <a16:predDERef xmlns:a16="http://schemas.microsoft.com/office/drawing/2014/main" pred="{992AA344-E65B-4F29-87AB-2AB0D7432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104</xdr:col>
      <xdr:colOff>520700</xdr:colOff>
      <xdr:row>23</xdr:row>
      <xdr:rowOff>139700</xdr:rowOff>
    </xdr:from>
    <xdr:to>
      <xdr:col>108</xdr:col>
      <xdr:colOff>552450</xdr:colOff>
      <xdr:row>26</xdr:row>
      <xdr:rowOff>50800</xdr:rowOff>
    </xdr:to>
    <xdr:cxnSp macro="">
      <xdr:nvCxnSpPr>
        <xdr:cNvPr id="4" name="Straight Connector 4">
          <a:extLst>
            <a:ext uri="{FF2B5EF4-FFF2-40B4-BE49-F238E27FC236}">
              <a16:creationId xmlns:a16="http://schemas.microsoft.com/office/drawing/2014/main" id="{7A038645-5F04-43D5-A8E9-67DC64352E6D}"/>
            </a:ext>
            <a:ext uri="{147F2762-F138-4A5C-976F-8EAC2B608ADB}">
              <a16:predDERef xmlns:a16="http://schemas.microsoft.com/office/drawing/2014/main" pred="{30991609-C0C9-4F36-8225-4273ECEC48D4}"/>
            </a:ext>
          </a:extLst>
        </xdr:cNvPr>
        <xdr:cNvCxnSpPr/>
      </xdr:nvCxnSpPr>
      <xdr:spPr>
        <a:xfrm flipH="1">
          <a:off x="73863200" y="8207375"/>
          <a:ext cx="4137025" cy="45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696567</xdr:colOff>
      <xdr:row>21</xdr:row>
      <xdr:rowOff>55217</xdr:rowOff>
    </xdr:from>
    <xdr:to>
      <xdr:col>103</xdr:col>
      <xdr:colOff>644202</xdr:colOff>
      <xdr:row>25</xdr:row>
      <xdr:rowOff>55355</xdr:rowOff>
    </xdr:to>
    <xdr:cxnSp macro="">
      <xdr:nvCxnSpPr>
        <xdr:cNvPr id="5" name="Straight Connector 8">
          <a:extLst>
            <a:ext uri="{FF2B5EF4-FFF2-40B4-BE49-F238E27FC236}">
              <a16:creationId xmlns:a16="http://schemas.microsoft.com/office/drawing/2014/main" id="{BDCFE8DA-0985-455F-B137-E6C6B1E7828B}"/>
            </a:ext>
            <a:ext uri="{147F2762-F138-4A5C-976F-8EAC2B608ADB}">
              <a16:predDERef xmlns:a16="http://schemas.microsoft.com/office/drawing/2014/main" pred="{7A038645-5F04-43D5-A8E9-67DC64352E6D}"/>
            </a:ext>
          </a:extLst>
        </xdr:cNvPr>
        <xdr:cNvCxnSpPr/>
      </xdr:nvCxnSpPr>
      <xdr:spPr>
        <a:xfrm flipH="1">
          <a:off x="68152617" y="7760942"/>
          <a:ext cx="4938735" cy="7240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15</xdr:row>
      <xdr:rowOff>181264</xdr:rowOff>
    </xdr:from>
    <xdr:to>
      <xdr:col>8</xdr:col>
      <xdr:colOff>594590</xdr:colOff>
      <xdr:row>41</xdr:row>
      <xdr:rowOff>103908</xdr:rowOff>
    </xdr:to>
    <xdr:graphicFrame macro="">
      <xdr:nvGraphicFramePr>
        <xdr:cNvPr id="21" name="Chart 6">
          <a:extLst>
            <a:ext uri="{FF2B5EF4-FFF2-40B4-BE49-F238E27FC236}">
              <a16:creationId xmlns:a16="http://schemas.microsoft.com/office/drawing/2014/main" id="{C8D839DF-C3D0-4978-A263-86329D60FFC2}"/>
            </a:ext>
            <a:ext uri="{147F2762-F138-4A5C-976F-8EAC2B608ADB}">
              <a16:predDERef xmlns:a16="http://schemas.microsoft.com/office/drawing/2014/main" pred="{BDCFE8DA-0985-455F-B137-E6C6B1E78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46193</xdr:colOff>
      <xdr:row>16</xdr:row>
      <xdr:rowOff>8080</xdr:rowOff>
    </xdr:from>
    <xdr:to>
      <xdr:col>19</xdr:col>
      <xdr:colOff>46181</xdr:colOff>
      <xdr:row>41</xdr:row>
      <xdr:rowOff>80817</xdr:rowOff>
    </xdr:to>
    <xdr:graphicFrame macro="">
      <xdr:nvGraphicFramePr>
        <xdr:cNvPr id="22" name="Chart 7">
          <a:extLst>
            <a:ext uri="{FF2B5EF4-FFF2-40B4-BE49-F238E27FC236}">
              <a16:creationId xmlns:a16="http://schemas.microsoft.com/office/drawing/2014/main" id="{749C27BA-B279-492B-88E1-71124AB3BFD3}"/>
            </a:ext>
            <a:ext uri="{147F2762-F138-4A5C-976F-8EAC2B608ADB}">
              <a16:predDERef xmlns:a16="http://schemas.microsoft.com/office/drawing/2014/main" pred="{C8D839DF-C3D0-4978-A263-86329D60F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266891</xdr:colOff>
      <xdr:row>16</xdr:row>
      <xdr:rowOff>13437</xdr:rowOff>
    </xdr:from>
    <xdr:to>
      <xdr:col>29</xdr:col>
      <xdr:colOff>423333</xdr:colOff>
      <xdr:row>41</xdr:row>
      <xdr:rowOff>82826</xdr:rowOff>
    </xdr:to>
    <xdr:graphicFrame macro="">
      <xdr:nvGraphicFramePr>
        <xdr:cNvPr id="23" name="Chart 10">
          <a:extLst>
            <a:ext uri="{FF2B5EF4-FFF2-40B4-BE49-F238E27FC236}">
              <a16:creationId xmlns:a16="http://schemas.microsoft.com/office/drawing/2014/main" id="{6B1A5C96-6BF6-471F-92E3-6A3D88ABD0CB}"/>
            </a:ext>
            <a:ext uri="{147F2762-F138-4A5C-976F-8EAC2B608ADB}">
              <a16:predDERef xmlns:a16="http://schemas.microsoft.com/office/drawing/2014/main" pred="{749C27BA-B279-492B-88E1-71124AB3B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681935</xdr:colOff>
      <xdr:row>16</xdr:row>
      <xdr:rowOff>13437</xdr:rowOff>
    </xdr:from>
    <xdr:to>
      <xdr:col>39</xdr:col>
      <xdr:colOff>358913</xdr:colOff>
      <xdr:row>41</xdr:row>
      <xdr:rowOff>82826</xdr:rowOff>
    </xdr:to>
    <xdr:graphicFrame macro="">
      <xdr:nvGraphicFramePr>
        <xdr:cNvPr id="24" name="Chart 11">
          <a:extLst>
            <a:ext uri="{FF2B5EF4-FFF2-40B4-BE49-F238E27FC236}">
              <a16:creationId xmlns:a16="http://schemas.microsoft.com/office/drawing/2014/main" id="{9F8D62AD-DD0E-4C7D-A126-6446D22AE4AA}"/>
            </a:ext>
            <a:ext uri="{147F2762-F138-4A5C-976F-8EAC2B608ADB}">
              <a16:predDERef xmlns:a16="http://schemas.microsoft.com/office/drawing/2014/main" pred="{6B1A5C96-6BF6-471F-92E3-6A3D88ABD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377319</xdr:colOff>
      <xdr:row>42</xdr:row>
      <xdr:rowOff>4233</xdr:rowOff>
    </xdr:from>
    <xdr:to>
      <xdr:col>8</xdr:col>
      <xdr:colOff>570580</xdr:colOff>
      <xdr:row>63</xdr:row>
      <xdr:rowOff>119637</xdr:rowOff>
    </xdr:to>
    <xdr:graphicFrame macro="">
      <xdr:nvGraphicFramePr>
        <xdr:cNvPr id="25" name="Chart 12">
          <a:extLst>
            <a:ext uri="{FF2B5EF4-FFF2-40B4-BE49-F238E27FC236}">
              <a16:creationId xmlns:a16="http://schemas.microsoft.com/office/drawing/2014/main" id="{244EEB9D-90E0-4B14-BA23-87296E7ACD10}"/>
            </a:ext>
            <a:ext uri="{147F2762-F138-4A5C-976F-8EAC2B608ADB}">
              <a16:predDERef xmlns:a16="http://schemas.microsoft.com/office/drawing/2014/main" pred="{9F8D62AD-DD0E-4C7D-A126-6446D22AE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36810</xdr:colOff>
      <xdr:row>42</xdr:row>
      <xdr:rowOff>4234</xdr:rowOff>
    </xdr:from>
    <xdr:to>
      <xdr:col>19</xdr:col>
      <xdr:colOff>64419</xdr:colOff>
      <xdr:row>63</xdr:row>
      <xdr:rowOff>101231</xdr:rowOff>
    </xdr:to>
    <xdr:graphicFrame macro="">
      <xdr:nvGraphicFramePr>
        <xdr:cNvPr id="26" name="Chart 13">
          <a:extLst>
            <a:ext uri="{FF2B5EF4-FFF2-40B4-BE49-F238E27FC236}">
              <a16:creationId xmlns:a16="http://schemas.microsoft.com/office/drawing/2014/main" id="{94F28F47-9E0C-4EE5-B7BF-7BA055DB51FF}"/>
            </a:ext>
            <a:ext uri="{147F2762-F138-4A5C-976F-8EAC2B608ADB}">
              <a16:predDERef xmlns:a16="http://schemas.microsoft.com/office/drawing/2014/main" pred="{244EEB9D-90E0-4B14-BA23-87296E7AC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258601</xdr:colOff>
      <xdr:row>41</xdr:row>
      <xdr:rowOff>179087</xdr:rowOff>
    </xdr:from>
    <xdr:to>
      <xdr:col>29</xdr:col>
      <xdr:colOff>432535</xdr:colOff>
      <xdr:row>63</xdr:row>
      <xdr:rowOff>92028</xdr:rowOff>
    </xdr:to>
    <xdr:graphicFrame macro="">
      <xdr:nvGraphicFramePr>
        <xdr:cNvPr id="27" name="Chart 14">
          <a:extLst>
            <a:ext uri="{FF2B5EF4-FFF2-40B4-BE49-F238E27FC236}">
              <a16:creationId xmlns:a16="http://schemas.microsoft.com/office/drawing/2014/main" id="{FBE6954E-54CE-4DC6-9C94-2D3135A5304D}"/>
            </a:ext>
            <a:ext uri="{147F2762-F138-4A5C-976F-8EAC2B608ADB}">
              <a16:predDERef xmlns:a16="http://schemas.microsoft.com/office/drawing/2014/main" pred="{94F28F47-9E0C-4EE5-B7BF-7BA055DB5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920</xdr:colOff>
      <xdr:row>42</xdr:row>
      <xdr:rowOff>13438</xdr:rowOff>
    </xdr:from>
    <xdr:to>
      <xdr:col>39</xdr:col>
      <xdr:colOff>349710</xdr:colOff>
      <xdr:row>63</xdr:row>
      <xdr:rowOff>110434</xdr:rowOff>
    </xdr:to>
    <xdr:graphicFrame macro="">
      <xdr:nvGraphicFramePr>
        <xdr:cNvPr id="28" name="Chart 15">
          <a:extLst>
            <a:ext uri="{FF2B5EF4-FFF2-40B4-BE49-F238E27FC236}">
              <a16:creationId xmlns:a16="http://schemas.microsoft.com/office/drawing/2014/main" id="{159D252D-EDB2-45F9-823A-F78F326C5F28}"/>
            </a:ext>
            <a:ext uri="{147F2762-F138-4A5C-976F-8EAC2B608ADB}">
              <a16:predDERef xmlns:a16="http://schemas.microsoft.com/office/drawing/2014/main" pred="{FBE6954E-54CE-4DC6-9C94-2D3135A53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377318</xdr:colOff>
      <xdr:row>63</xdr:row>
      <xdr:rowOff>179086</xdr:rowOff>
    </xdr:from>
    <xdr:to>
      <xdr:col>8</xdr:col>
      <xdr:colOff>533769</xdr:colOff>
      <xdr:row>84</xdr:row>
      <xdr:rowOff>165652</xdr:rowOff>
    </xdr:to>
    <xdr:graphicFrame macro="">
      <xdr:nvGraphicFramePr>
        <xdr:cNvPr id="29" name="Chart 16">
          <a:extLst>
            <a:ext uri="{FF2B5EF4-FFF2-40B4-BE49-F238E27FC236}">
              <a16:creationId xmlns:a16="http://schemas.microsoft.com/office/drawing/2014/main" id="{89E12C38-FB3D-445B-933A-9229F3E6BE6E}"/>
            </a:ext>
            <a:ext uri="{147F2762-F138-4A5C-976F-8EAC2B608ADB}">
              <a16:predDERef xmlns:a16="http://schemas.microsoft.com/office/drawing/2014/main" pred="{159D252D-EDB2-45F9-823A-F78F326C5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36810</xdr:colOff>
      <xdr:row>64</xdr:row>
      <xdr:rowOff>4233</xdr:rowOff>
    </xdr:from>
    <xdr:to>
      <xdr:col>19</xdr:col>
      <xdr:colOff>27607</xdr:colOff>
      <xdr:row>84</xdr:row>
      <xdr:rowOff>165652</xdr:rowOff>
    </xdr:to>
    <xdr:graphicFrame macro="">
      <xdr:nvGraphicFramePr>
        <xdr:cNvPr id="30" name="Chart 18">
          <a:extLst>
            <a:ext uri="{FF2B5EF4-FFF2-40B4-BE49-F238E27FC236}">
              <a16:creationId xmlns:a16="http://schemas.microsoft.com/office/drawing/2014/main" id="{53EA0588-0719-497C-A60D-121E4C45A71B}"/>
            </a:ext>
            <a:ext uri="{147F2762-F138-4A5C-976F-8EAC2B608ADB}">
              <a16:predDERef xmlns:a16="http://schemas.microsoft.com/office/drawing/2014/main" pred="{89E12C38-FB3D-445B-933A-9229F3E6B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249399</xdr:colOff>
      <xdr:row>64</xdr:row>
      <xdr:rowOff>13433</xdr:rowOff>
    </xdr:from>
    <xdr:to>
      <xdr:col>29</xdr:col>
      <xdr:colOff>432536</xdr:colOff>
      <xdr:row>84</xdr:row>
      <xdr:rowOff>184057</xdr:rowOff>
    </xdr:to>
    <xdr:graphicFrame macro="">
      <xdr:nvGraphicFramePr>
        <xdr:cNvPr id="31" name="Chart 20">
          <a:extLst>
            <a:ext uri="{FF2B5EF4-FFF2-40B4-BE49-F238E27FC236}">
              <a16:creationId xmlns:a16="http://schemas.microsoft.com/office/drawing/2014/main" id="{481769D5-CA46-4185-902E-98BE7246CA11}"/>
            </a:ext>
            <a:ext uri="{147F2762-F138-4A5C-976F-8EAC2B608ADB}">
              <a16:predDERef xmlns:a16="http://schemas.microsoft.com/office/drawing/2014/main" pred="{53EA0588-0719-497C-A60D-121E4C45A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10122</xdr:colOff>
      <xdr:row>64</xdr:row>
      <xdr:rowOff>9201</xdr:rowOff>
    </xdr:from>
    <xdr:to>
      <xdr:col>39</xdr:col>
      <xdr:colOff>331304</xdr:colOff>
      <xdr:row>84</xdr:row>
      <xdr:rowOff>184057</xdr:rowOff>
    </xdr:to>
    <xdr:graphicFrame macro="">
      <xdr:nvGraphicFramePr>
        <xdr:cNvPr id="32" name="Chart 21">
          <a:extLst>
            <a:ext uri="{FF2B5EF4-FFF2-40B4-BE49-F238E27FC236}">
              <a16:creationId xmlns:a16="http://schemas.microsoft.com/office/drawing/2014/main" id="{E49E15B9-3A4C-479A-A48D-AA9D3D0D485B}"/>
            </a:ext>
            <a:ext uri="{147F2762-F138-4A5C-976F-8EAC2B608ADB}">
              <a16:predDERef xmlns:a16="http://schemas.microsoft.com/office/drawing/2014/main" pred="{481769D5-CA46-4185-902E-98BE7246C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369037</xdr:colOff>
      <xdr:row>86</xdr:row>
      <xdr:rowOff>13437</xdr:rowOff>
    </xdr:from>
    <xdr:to>
      <xdr:col>8</xdr:col>
      <xdr:colOff>506160</xdr:colOff>
      <xdr:row>108</xdr:row>
      <xdr:rowOff>138044</xdr:rowOff>
    </xdr:to>
    <xdr:graphicFrame macro="">
      <xdr:nvGraphicFramePr>
        <xdr:cNvPr id="33" name="Chart 22">
          <a:extLst>
            <a:ext uri="{FF2B5EF4-FFF2-40B4-BE49-F238E27FC236}">
              <a16:creationId xmlns:a16="http://schemas.microsoft.com/office/drawing/2014/main" id="{4C523732-67B7-4E2D-AB43-C25E62D05553}"/>
            </a:ext>
            <a:ext uri="{147F2762-F138-4A5C-976F-8EAC2B608ADB}">
              <a16:predDERef xmlns:a16="http://schemas.microsoft.com/office/drawing/2014/main" pred="{E49E15B9-3A4C-479A-A48D-AA9D3D0D4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97</xdr:col>
      <xdr:colOff>269875</xdr:colOff>
      <xdr:row>15</xdr:row>
      <xdr:rowOff>101600</xdr:rowOff>
    </xdr:from>
    <xdr:to>
      <xdr:col>103</xdr:col>
      <xdr:colOff>765175</xdr:colOff>
      <xdr:row>35</xdr:row>
      <xdr:rowOff>5291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11C9D62-49F3-7973-31C7-83AF2713B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95250</xdr:colOff>
      <xdr:row>15</xdr:row>
      <xdr:rowOff>88900</xdr:rowOff>
    </xdr:from>
    <xdr:to>
      <xdr:col>108</xdr:col>
      <xdr:colOff>368300</xdr:colOff>
      <xdr:row>30</xdr:row>
      <xdr:rowOff>69850</xdr:rowOff>
    </xdr:to>
    <xdr:graphicFrame macro="">
      <xdr:nvGraphicFramePr>
        <xdr:cNvPr id="26" name="Chart 2">
          <a:extLst>
            <a:ext uri="{FF2B5EF4-FFF2-40B4-BE49-F238E27FC236}">
              <a16:creationId xmlns:a16="http://schemas.microsoft.com/office/drawing/2014/main" id="{AE4D4DC0-E4A7-4E86-BFB0-51A81DB5BEEF}"/>
            </a:ext>
            <a:ext uri="{147F2762-F138-4A5C-976F-8EAC2B608ADB}">
              <a16:predDERef xmlns:a16="http://schemas.microsoft.com/office/drawing/2014/main" pred="{711C9D62-49F3-7973-31C7-83AF2713B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104</xdr:col>
      <xdr:colOff>520700</xdr:colOff>
      <xdr:row>23</xdr:row>
      <xdr:rowOff>139700</xdr:rowOff>
    </xdr:from>
    <xdr:to>
      <xdr:col>108</xdr:col>
      <xdr:colOff>552450</xdr:colOff>
      <xdr:row>26</xdr:row>
      <xdr:rowOff>50800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8650166-D5EA-811F-85D1-D27E05ED380E}"/>
            </a:ext>
          </a:extLst>
        </xdr:cNvPr>
        <xdr:cNvCxnSpPr/>
      </xdr:nvCxnSpPr>
      <xdr:spPr>
        <a:xfrm flipH="1">
          <a:off x="73660000" y="5334000"/>
          <a:ext cx="4330700" cy="46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148062</xdr:colOff>
      <xdr:row>22</xdr:row>
      <xdr:rowOff>64796</xdr:rowOff>
    </xdr:from>
    <xdr:to>
      <xdr:col>104</xdr:col>
      <xdr:colOff>103672</xdr:colOff>
      <xdr:row>27</xdr:row>
      <xdr:rowOff>175199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828913F-9D5B-99A0-304E-0395DB1D9AA1}"/>
            </a:ext>
          </a:extLst>
        </xdr:cNvPr>
        <xdr:cNvCxnSpPr/>
      </xdr:nvCxnSpPr>
      <xdr:spPr>
        <a:xfrm flipH="1">
          <a:off x="71954899" y="7931020"/>
          <a:ext cx="5242957" cy="1017546"/>
        </a:xfrm>
        <a:prstGeom prst="line">
          <a:avLst/>
        </a:prstGeom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46193</xdr:colOff>
      <xdr:row>16</xdr:row>
      <xdr:rowOff>8080</xdr:rowOff>
    </xdr:from>
    <xdr:to>
      <xdr:col>19</xdr:col>
      <xdr:colOff>46181</xdr:colOff>
      <xdr:row>41</xdr:row>
      <xdr:rowOff>80817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AF7307-34E4-D80D-FD1C-93BCD3038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266891</xdr:colOff>
      <xdr:row>16</xdr:row>
      <xdr:rowOff>13437</xdr:rowOff>
    </xdr:from>
    <xdr:to>
      <xdr:col>29</xdr:col>
      <xdr:colOff>423333</xdr:colOff>
      <xdr:row>41</xdr:row>
      <xdr:rowOff>82826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EEDF628-7C6F-4A03-A7DD-6C1F077CD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405710</xdr:colOff>
      <xdr:row>34</xdr:row>
      <xdr:rowOff>108687</xdr:rowOff>
    </xdr:from>
    <xdr:to>
      <xdr:col>49</xdr:col>
      <xdr:colOff>635138</xdr:colOff>
      <xdr:row>59</xdr:row>
      <xdr:rowOff>178076</xdr:rowOff>
    </xdr:to>
    <xdr:graphicFrame macro="">
      <xdr:nvGraphicFramePr>
        <xdr:cNvPr id="24" name="Chart 11">
          <a:extLst>
            <a:ext uri="{FF2B5EF4-FFF2-40B4-BE49-F238E27FC236}">
              <a16:creationId xmlns:a16="http://schemas.microsoft.com/office/drawing/2014/main" id="{F73CAB16-F992-E809-6E67-75BD06D9DE53}"/>
            </a:ext>
            <a:ext uri="{147F2762-F138-4A5C-976F-8EAC2B608ADB}">
              <a16:predDERef xmlns:a16="http://schemas.microsoft.com/office/drawing/2014/main" pred="{1EEDF628-7C6F-4A03-A7DD-6C1F077CD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377319</xdr:colOff>
      <xdr:row>42</xdr:row>
      <xdr:rowOff>4233</xdr:rowOff>
    </xdr:from>
    <xdr:to>
      <xdr:col>8</xdr:col>
      <xdr:colOff>570580</xdr:colOff>
      <xdr:row>63</xdr:row>
      <xdr:rowOff>119637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B0E5A5-AA61-670A-BC19-C83F1F810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36810</xdr:colOff>
      <xdr:row>42</xdr:row>
      <xdr:rowOff>4234</xdr:rowOff>
    </xdr:from>
    <xdr:to>
      <xdr:col>19</xdr:col>
      <xdr:colOff>64419</xdr:colOff>
      <xdr:row>63</xdr:row>
      <xdr:rowOff>101231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02E7D41-CB08-40D6-CEC7-BAE3A9109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258601</xdr:colOff>
      <xdr:row>41</xdr:row>
      <xdr:rowOff>179087</xdr:rowOff>
    </xdr:from>
    <xdr:to>
      <xdr:col>29</xdr:col>
      <xdr:colOff>432535</xdr:colOff>
      <xdr:row>63</xdr:row>
      <xdr:rowOff>92028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820290A-8EDF-2747-782A-F67268F3C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920</xdr:colOff>
      <xdr:row>42</xdr:row>
      <xdr:rowOff>13438</xdr:rowOff>
    </xdr:from>
    <xdr:to>
      <xdr:col>39</xdr:col>
      <xdr:colOff>349710</xdr:colOff>
      <xdr:row>63</xdr:row>
      <xdr:rowOff>110434</xdr:rowOff>
    </xdr:to>
    <xdr:graphicFrame macro="">
      <xdr:nvGraphicFramePr>
        <xdr:cNvPr id="18" name="Chart 15">
          <a:extLst>
            <a:ext uri="{FF2B5EF4-FFF2-40B4-BE49-F238E27FC236}">
              <a16:creationId xmlns:a16="http://schemas.microsoft.com/office/drawing/2014/main" id="{F6F07D87-D088-A375-63A6-ADBBD62FD67F}"/>
            </a:ext>
            <a:ext uri="{147F2762-F138-4A5C-976F-8EAC2B608ADB}">
              <a16:predDERef xmlns:a16="http://schemas.microsoft.com/office/drawing/2014/main" pred="{4820290A-8EDF-2747-782A-F67268F3C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377318</xdr:colOff>
      <xdr:row>63</xdr:row>
      <xdr:rowOff>179086</xdr:rowOff>
    </xdr:from>
    <xdr:to>
      <xdr:col>8</xdr:col>
      <xdr:colOff>533769</xdr:colOff>
      <xdr:row>84</xdr:row>
      <xdr:rowOff>165652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D134BF1-9480-96DF-E0DB-DD7120631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36810</xdr:colOff>
      <xdr:row>64</xdr:row>
      <xdr:rowOff>4233</xdr:rowOff>
    </xdr:from>
    <xdr:to>
      <xdr:col>19</xdr:col>
      <xdr:colOff>27607</xdr:colOff>
      <xdr:row>84</xdr:row>
      <xdr:rowOff>165652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6608D1-CC11-3F0C-0454-793F25F2B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249399</xdr:colOff>
      <xdr:row>64</xdr:row>
      <xdr:rowOff>13433</xdr:rowOff>
    </xdr:from>
    <xdr:to>
      <xdr:col>29</xdr:col>
      <xdr:colOff>432536</xdr:colOff>
      <xdr:row>84</xdr:row>
      <xdr:rowOff>184057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DDB157F-D8E8-7352-1315-605689D3F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10122</xdr:colOff>
      <xdr:row>64</xdr:row>
      <xdr:rowOff>9201</xdr:rowOff>
    </xdr:from>
    <xdr:to>
      <xdr:col>39</xdr:col>
      <xdr:colOff>331304</xdr:colOff>
      <xdr:row>84</xdr:row>
      <xdr:rowOff>184057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44A207D-21DB-9065-54F7-13F520D53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369037</xdr:colOff>
      <xdr:row>86</xdr:row>
      <xdr:rowOff>13437</xdr:rowOff>
    </xdr:from>
    <xdr:to>
      <xdr:col>8</xdr:col>
      <xdr:colOff>506160</xdr:colOff>
      <xdr:row>108</xdr:row>
      <xdr:rowOff>138044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CC6F097-1103-3C6A-5B36-27133F43A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368710</xdr:colOff>
      <xdr:row>15</xdr:row>
      <xdr:rowOff>174113</xdr:rowOff>
    </xdr:from>
    <xdr:to>
      <xdr:col>8</xdr:col>
      <xdr:colOff>563306</xdr:colOff>
      <xdr:row>41</xdr:row>
      <xdr:rowOff>29907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F5785A3-4A90-B861-A508-A53AEA451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102</xdr:col>
      <xdr:colOff>174624</xdr:colOff>
      <xdr:row>21</xdr:row>
      <xdr:rowOff>6350</xdr:rowOff>
    </xdr:from>
    <xdr:to>
      <xdr:col>103</xdr:col>
      <xdr:colOff>501649</xdr:colOff>
      <xdr:row>23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261CA2-D13A-53A3-C3D6-097E7E6BEEF0}"/>
            </a:ext>
          </a:extLst>
        </xdr:cNvPr>
        <xdr:cNvSpPr txBox="1"/>
      </xdr:nvSpPr>
      <xdr:spPr>
        <a:xfrm>
          <a:off x="75549124" y="7715250"/>
          <a:ext cx="102552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Capital Allocation Line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15"/>
  <sheetViews>
    <sheetView topLeftCell="A4" zoomScale="87" workbookViewId="0">
      <selection activeCell="I14" sqref="I14"/>
    </sheetView>
  </sheetViews>
  <sheetFormatPr defaultColWidth="15.81640625" defaultRowHeight="14.5" x14ac:dyDescent="0.35"/>
  <cols>
    <col min="1" max="1" width="20.1796875" bestFit="1" customWidth="1"/>
    <col min="7" max="10" width="21" customWidth="1"/>
  </cols>
  <sheetData>
    <row r="4" spans="1:18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</row>
    <row r="5" spans="1:18" x14ac:dyDescent="0.35">
      <c r="A5" s="32">
        <f>G5*D5</f>
        <v>8.9832969735767043E-2</v>
      </c>
      <c r="B5" t="s">
        <v>9</v>
      </c>
      <c r="C5" s="2">
        <v>6.2E-2</v>
      </c>
      <c r="D5" s="2">
        <v>0.21</v>
      </c>
      <c r="E5" s="2">
        <f>C5/D5</f>
        <v>0.29523809523809524</v>
      </c>
      <c r="F5" s="14">
        <f>1/D5</f>
        <v>4.7619047619047619</v>
      </c>
      <c r="G5" s="2">
        <f>F5/SUM($F$5:$F$7)</f>
        <v>0.42777604636079547</v>
      </c>
      <c r="H5" s="35">
        <f>SUMPRODUCT(C5:C7,$G$5:$G$7)</f>
        <v>7.9241010436232842E-2</v>
      </c>
      <c r="I5" s="35">
        <f t="shared" ref="I5:J5" si="0">SUMPRODUCT(D5:D7,$G$5:$G$7)</f>
        <v>0.26949890920730113</v>
      </c>
      <c r="J5" s="35">
        <f t="shared" si="0"/>
        <v>0.30202687150158236</v>
      </c>
      <c r="L5" s="1" t="s">
        <v>9</v>
      </c>
      <c r="M5">
        <v>1</v>
      </c>
      <c r="N5">
        <v>0.15</v>
      </c>
      <c r="O5">
        <v>0.63</v>
      </c>
      <c r="P5">
        <v>0.4</v>
      </c>
      <c r="Q5">
        <v>0.65</v>
      </c>
      <c r="R5">
        <v>0.6</v>
      </c>
    </row>
    <row r="6" spans="1:18" x14ac:dyDescent="0.35">
      <c r="A6" s="32">
        <f t="shared" ref="A6:A7" si="1">G6*D6</f>
        <v>8.9832969735767043E-2</v>
      </c>
      <c r="B6" t="s">
        <v>10</v>
      </c>
      <c r="C6" s="2">
        <v>8.1000000000000003E-2</v>
      </c>
      <c r="D6" s="2">
        <v>0.379</v>
      </c>
      <c r="E6" s="2">
        <f t="shared" ref="E6:E7" si="2">C6/D6</f>
        <v>0.21372031662269131</v>
      </c>
      <c r="F6" s="14">
        <f t="shared" ref="F6:F7" si="3">1/D6</f>
        <v>2.6385224274406331</v>
      </c>
      <c r="G6" s="2">
        <f t="shared" ref="G6:G7" si="4">F6/SUM($F$5:$F$7)</f>
        <v>0.237026305371417</v>
      </c>
      <c r="H6" s="36"/>
      <c r="I6" s="36"/>
      <c r="J6" s="36"/>
      <c r="L6" s="1" t="s">
        <v>10</v>
      </c>
      <c r="M6">
        <v>0.15</v>
      </c>
      <c r="N6">
        <v>1</v>
      </c>
      <c r="O6">
        <v>0.2</v>
      </c>
      <c r="P6">
        <v>0.18</v>
      </c>
      <c r="Q6">
        <v>0.22</v>
      </c>
      <c r="R6">
        <v>0.25</v>
      </c>
    </row>
    <row r="7" spans="1:18" x14ac:dyDescent="0.35">
      <c r="A7" s="32">
        <f t="shared" si="1"/>
        <v>8.9832969735767043E-2</v>
      </c>
      <c r="B7" t="s">
        <v>12</v>
      </c>
      <c r="C7" s="2">
        <v>0.1</v>
      </c>
      <c r="D7" s="2">
        <v>0.26800000000000002</v>
      </c>
      <c r="E7" s="2">
        <f t="shared" si="2"/>
        <v>0.37313432835820898</v>
      </c>
      <c r="F7" s="14">
        <f t="shared" si="3"/>
        <v>3.7313432835820892</v>
      </c>
      <c r="G7" s="2">
        <f t="shared" si="4"/>
        <v>0.33519764826778747</v>
      </c>
      <c r="H7" s="36"/>
      <c r="I7" s="36"/>
      <c r="J7" s="36"/>
      <c r="L7" s="1" t="s">
        <v>12</v>
      </c>
      <c r="M7">
        <v>0.4</v>
      </c>
      <c r="N7">
        <v>0.18</v>
      </c>
      <c r="O7">
        <v>0.42</v>
      </c>
      <c r="P7">
        <v>1</v>
      </c>
      <c r="Q7">
        <v>0.55000000000000004</v>
      </c>
      <c r="R7">
        <v>0.45</v>
      </c>
    </row>
    <row r="10" spans="1:18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</row>
    <row r="11" spans="1:18" x14ac:dyDescent="0.35">
      <c r="A11" s="8">
        <f>G11*1000000000000</f>
        <v>419211261774.14343</v>
      </c>
      <c r="B11" t="s">
        <v>9</v>
      </c>
      <c r="C11" s="2">
        <v>6.2E-2</v>
      </c>
      <c r="D11" s="2">
        <v>0.21</v>
      </c>
      <c r="E11" s="2">
        <f>C11/D11</f>
        <v>0.29523809523809524</v>
      </c>
      <c r="F11" s="14">
        <f>1/C11</f>
        <v>16.129032258064516</v>
      </c>
      <c r="G11" s="2">
        <f>F11/SUM($F$11:$F$13)</f>
        <v>0.41921126177414342</v>
      </c>
      <c r="H11" s="35">
        <f>SUMPRODUCT(C11:C13,$G$11:$G$13)</f>
        <v>7.7973294689990688E-2</v>
      </c>
      <c r="I11" s="35">
        <f>SUMPRODUCT(D11:D13,$G$11:$G$13)</f>
        <v>0.27930317772487318</v>
      </c>
      <c r="J11" s="35">
        <f>SUMPRODUCT(E11:E13,$G$11:$G$13)</f>
        <v>0.28932693983563723</v>
      </c>
    </row>
    <row r="12" spans="1:18" x14ac:dyDescent="0.35">
      <c r="A12" s="8">
        <f t="shared" ref="A12:A13" si="5">G12*1000000000000</f>
        <v>320877755925.88757</v>
      </c>
      <c r="B12" t="s">
        <v>10</v>
      </c>
      <c r="C12" s="2">
        <v>8.1000000000000003E-2</v>
      </c>
      <c r="D12" s="2">
        <v>0.379</v>
      </c>
      <c r="E12" s="2">
        <f t="shared" ref="E12:E13" si="6">C12/D12</f>
        <v>0.21372031662269131</v>
      </c>
      <c r="F12" s="14">
        <f t="shared" ref="F12:F13" si="7">1/C12</f>
        <v>12.345679012345679</v>
      </c>
      <c r="G12" s="2">
        <f t="shared" ref="G12" si="8">F12/SUM($F$11:$F$13)</f>
        <v>0.32087775592588758</v>
      </c>
      <c r="H12" s="36"/>
      <c r="I12" s="36"/>
      <c r="J12" s="36"/>
    </row>
    <row r="13" spans="1:18" x14ac:dyDescent="0.35">
      <c r="A13" s="8">
        <f t="shared" si="5"/>
        <v>259910982299.96896</v>
      </c>
      <c r="B13" t="s">
        <v>12</v>
      </c>
      <c r="C13" s="2">
        <v>0.1</v>
      </c>
      <c r="D13" s="2">
        <v>0.26800000000000002</v>
      </c>
      <c r="E13" s="2">
        <f t="shared" si="6"/>
        <v>0.37313432835820898</v>
      </c>
      <c r="F13" s="14">
        <f t="shared" si="7"/>
        <v>10</v>
      </c>
      <c r="G13" s="2">
        <f>F13/SUM($F$11:$F$13)</f>
        <v>0.25991098229996895</v>
      </c>
      <c r="H13" s="36"/>
      <c r="I13" s="36"/>
      <c r="J13" s="36"/>
    </row>
    <row r="15" spans="1:18" x14ac:dyDescent="0.35">
      <c r="F15" t="s">
        <v>160</v>
      </c>
    </row>
  </sheetData>
  <mergeCells count="6">
    <mergeCell ref="H5:H7"/>
    <mergeCell ref="I5:I7"/>
    <mergeCell ref="J5:J7"/>
    <mergeCell ref="H11:H13"/>
    <mergeCell ref="I11:I13"/>
    <mergeCell ref="J11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1"/>
  <sheetViews>
    <sheetView zoomScale="53" zoomScaleNormal="53" workbookViewId="0">
      <pane xSplit="2" topLeftCell="BN1" activePane="topRight" state="frozen"/>
      <selection pane="topRight" activeCell="BW5" sqref="BW5"/>
    </sheetView>
  </sheetViews>
  <sheetFormatPr defaultColWidth="21.81640625" defaultRowHeight="14.5" x14ac:dyDescent="0.35"/>
  <cols>
    <col min="2" max="2" width="32.453125" customWidth="1"/>
  </cols>
  <sheetData>
    <row r="1" spans="1:75" x14ac:dyDescent="0.35">
      <c r="BW1">
        <v>1</v>
      </c>
    </row>
    <row r="2" spans="1:75" x14ac:dyDescent="0.35">
      <c r="BW2" t="s">
        <v>15</v>
      </c>
    </row>
    <row r="3" spans="1:75" ht="15" thickBot="1" x14ac:dyDescent="0.4">
      <c r="BU3" t="s">
        <v>16</v>
      </c>
      <c r="BV3" t="s">
        <v>17</v>
      </c>
      <c r="BW3" t="s">
        <v>18</v>
      </c>
    </row>
    <row r="4" spans="1:75" s="5" customFormat="1" ht="22.5" thickBot="1" x14ac:dyDescent="0.4">
      <c r="B4" s="6" t="s">
        <v>0</v>
      </c>
      <c r="C4" s="6" t="s">
        <v>19</v>
      </c>
      <c r="D4" s="7">
        <v>44075</v>
      </c>
      <c r="E4" s="6" t="s">
        <v>20</v>
      </c>
      <c r="F4" s="7">
        <v>44136</v>
      </c>
      <c r="G4" s="6" t="s">
        <v>21</v>
      </c>
      <c r="H4" s="6" t="s">
        <v>22</v>
      </c>
      <c r="I4" s="6" t="s">
        <v>23</v>
      </c>
      <c r="J4" s="6" t="s">
        <v>24</v>
      </c>
      <c r="K4" s="7">
        <v>44287</v>
      </c>
      <c r="L4" s="6" t="s">
        <v>25</v>
      </c>
      <c r="M4" s="6" t="s">
        <v>26</v>
      </c>
      <c r="N4" s="6" t="s">
        <v>27</v>
      </c>
      <c r="O4" s="6" t="s">
        <v>28</v>
      </c>
      <c r="P4" s="7">
        <v>44440</v>
      </c>
      <c r="Q4" s="6" t="s">
        <v>29</v>
      </c>
      <c r="R4" s="7">
        <v>44501</v>
      </c>
      <c r="S4" s="6" t="s">
        <v>30</v>
      </c>
      <c r="T4" s="6" t="s">
        <v>31</v>
      </c>
      <c r="U4" s="6" t="s">
        <v>32</v>
      </c>
      <c r="V4" s="6" t="s">
        <v>33</v>
      </c>
      <c r="W4" s="7">
        <v>44652</v>
      </c>
      <c r="X4" s="6" t="s">
        <v>34</v>
      </c>
      <c r="Y4" s="6" t="s">
        <v>35</v>
      </c>
      <c r="Z4" s="6" t="s">
        <v>36</v>
      </c>
      <c r="AA4" s="6" t="s">
        <v>37</v>
      </c>
      <c r="AB4" s="7">
        <v>44805</v>
      </c>
      <c r="AC4" s="6" t="s">
        <v>38</v>
      </c>
      <c r="AD4" s="7">
        <v>44866</v>
      </c>
      <c r="AE4" s="6" t="s">
        <v>39</v>
      </c>
      <c r="AF4" s="6" t="s">
        <v>40</v>
      </c>
      <c r="AG4" s="6" t="s">
        <v>41</v>
      </c>
      <c r="AH4" s="6" t="s">
        <v>42</v>
      </c>
      <c r="AI4" s="7">
        <v>45017</v>
      </c>
      <c r="AJ4" s="6" t="s">
        <v>43</v>
      </c>
      <c r="AK4" s="6" t="s">
        <v>44</v>
      </c>
      <c r="AL4" s="6" t="s">
        <v>45</v>
      </c>
      <c r="AM4" s="6" t="s">
        <v>46</v>
      </c>
      <c r="AN4" s="7">
        <v>45170</v>
      </c>
      <c r="AO4" s="6" t="s">
        <v>47</v>
      </c>
      <c r="AP4" s="7">
        <v>45231</v>
      </c>
      <c r="AQ4" s="6" t="s">
        <v>48</v>
      </c>
      <c r="AR4" s="6" t="s">
        <v>49</v>
      </c>
      <c r="AS4" s="6" t="s">
        <v>50</v>
      </c>
      <c r="AT4" s="6" t="s">
        <v>51</v>
      </c>
      <c r="AU4" s="7">
        <v>45383</v>
      </c>
      <c r="AV4" s="6" t="s">
        <v>52</v>
      </c>
      <c r="AW4" s="6" t="s">
        <v>53</v>
      </c>
      <c r="AX4" s="6" t="s">
        <v>54</v>
      </c>
      <c r="AY4" s="6" t="s">
        <v>55</v>
      </c>
      <c r="AZ4" s="7">
        <v>45536</v>
      </c>
      <c r="BA4" s="6" t="s">
        <v>56</v>
      </c>
      <c r="BB4" s="7">
        <v>45597</v>
      </c>
      <c r="BC4" s="6" t="s">
        <v>57</v>
      </c>
      <c r="BD4" s="6" t="s">
        <v>58</v>
      </c>
      <c r="BE4" s="6" t="s">
        <v>59</v>
      </c>
      <c r="BF4" s="6" t="s">
        <v>60</v>
      </c>
      <c r="BG4" s="6" t="s">
        <v>61</v>
      </c>
      <c r="BH4" s="6" t="s">
        <v>62</v>
      </c>
      <c r="BI4" s="6" t="s">
        <v>63</v>
      </c>
      <c r="BJ4" s="6" t="s">
        <v>64</v>
      </c>
      <c r="BK4" s="6" t="s">
        <v>65</v>
      </c>
      <c r="BL4" s="6" t="s">
        <v>66</v>
      </c>
      <c r="BM4" s="6" t="s">
        <v>67</v>
      </c>
      <c r="BN4" s="6" t="s">
        <v>68</v>
      </c>
      <c r="BO4" s="6" t="s">
        <v>69</v>
      </c>
      <c r="BP4" s="6" t="s">
        <v>70</v>
      </c>
      <c r="BQ4" s="5" t="s">
        <v>71</v>
      </c>
      <c r="BR4" s="5" t="s">
        <v>72</v>
      </c>
      <c r="BS4" s="5" t="s">
        <v>73</v>
      </c>
      <c r="BT4" s="5" t="s">
        <v>74</v>
      </c>
      <c r="BU4" s="5" t="s">
        <v>75</v>
      </c>
      <c r="BV4" s="5" t="s">
        <v>76</v>
      </c>
      <c r="BW4" s="5" t="s">
        <v>77</v>
      </c>
    </row>
    <row r="5" spans="1:75" ht="15" thickBot="1" x14ac:dyDescent="0.4">
      <c r="A5" t="s">
        <v>78</v>
      </c>
      <c r="B5" s="4" t="s">
        <v>79</v>
      </c>
      <c r="C5" s="4">
        <v>28552.5</v>
      </c>
      <c r="D5" s="4">
        <v>31008.04</v>
      </c>
      <c r="E5" s="4">
        <v>33150.239999999998</v>
      </c>
      <c r="F5" s="4">
        <v>33636.67</v>
      </c>
      <c r="G5" s="4">
        <v>32583.26</v>
      </c>
      <c r="H5" s="4">
        <v>31886.19</v>
      </c>
      <c r="I5" s="4">
        <v>34765.53</v>
      </c>
      <c r="J5" s="4">
        <v>43658.91</v>
      </c>
      <c r="K5" s="4">
        <v>52486.75</v>
      </c>
      <c r="L5" s="4">
        <v>50770.53</v>
      </c>
      <c r="M5" s="4">
        <v>46020.71</v>
      </c>
      <c r="N5" s="4">
        <v>43199.519999999997</v>
      </c>
      <c r="O5" s="4">
        <v>49102.14</v>
      </c>
      <c r="P5" s="4">
        <v>52317.83</v>
      </c>
      <c r="Q5" s="4">
        <v>50793.25</v>
      </c>
      <c r="R5" s="4">
        <v>53622.73</v>
      </c>
      <c r="S5" s="4">
        <v>57995.22</v>
      </c>
      <c r="T5" s="4">
        <v>66505.5</v>
      </c>
      <c r="U5" s="4">
        <v>70178.5</v>
      </c>
      <c r="V5" s="4">
        <v>70856.820000000007</v>
      </c>
      <c r="W5" s="4">
        <v>77743.75</v>
      </c>
      <c r="X5" s="4">
        <v>81947</v>
      </c>
      <c r="Y5" s="4">
        <v>80382.86</v>
      </c>
      <c r="Z5" s="4">
        <v>73362.89</v>
      </c>
      <c r="AA5" s="4">
        <v>64670.45</v>
      </c>
      <c r="AB5" s="4">
        <v>49133.91</v>
      </c>
      <c r="AC5" s="4">
        <v>51264</v>
      </c>
      <c r="AD5" s="4">
        <v>51510.68</v>
      </c>
      <c r="AE5" s="4">
        <v>51510.45</v>
      </c>
      <c r="AF5" s="4">
        <v>51494.76</v>
      </c>
      <c r="AG5" s="4">
        <v>49931.5</v>
      </c>
      <c r="AH5" s="4">
        <v>42613.81</v>
      </c>
      <c r="AI5" s="4">
        <v>33981.75</v>
      </c>
      <c r="AJ5" s="4">
        <v>34228.239999999998</v>
      </c>
      <c r="AK5" s="4">
        <v>34493</v>
      </c>
      <c r="AL5" s="4">
        <v>29965</v>
      </c>
      <c r="AM5" s="4">
        <v>31475</v>
      </c>
      <c r="AN5" s="4">
        <v>32980.449999999997</v>
      </c>
      <c r="AO5" s="4">
        <v>32980.71</v>
      </c>
      <c r="AP5" s="4">
        <v>32980.910000000003</v>
      </c>
      <c r="AQ5" s="4">
        <v>32997.379999999997</v>
      </c>
      <c r="AR5" s="4">
        <v>31920</v>
      </c>
      <c r="AS5" s="4">
        <v>28696.25</v>
      </c>
      <c r="AT5" s="4">
        <v>28493.81</v>
      </c>
      <c r="AU5" s="4">
        <v>28220</v>
      </c>
      <c r="AV5" s="4">
        <v>28215.95</v>
      </c>
      <c r="AW5" s="4">
        <v>27718.68</v>
      </c>
      <c r="AX5" s="4">
        <v>26980.91</v>
      </c>
      <c r="AY5" s="4">
        <v>26628.41</v>
      </c>
      <c r="AZ5" s="4">
        <v>26031.9</v>
      </c>
      <c r="BA5" s="4">
        <v>24105</v>
      </c>
      <c r="BB5" s="4">
        <v>24184.52</v>
      </c>
      <c r="BC5" s="4">
        <v>24275.45</v>
      </c>
      <c r="BD5" s="4">
        <v>24300</v>
      </c>
      <c r="BE5" s="4">
        <v>24300</v>
      </c>
      <c r="BF5" s="4">
        <v>21426</v>
      </c>
      <c r="BG5" s="4">
        <v>22890</v>
      </c>
      <c r="BH5" s="4">
        <v>31390</v>
      </c>
      <c r="BI5" s="4">
        <v>33710.629999999997</v>
      </c>
      <c r="BJ5" s="4">
        <v>33274.620000000003</v>
      </c>
      <c r="BK5" s="4">
        <v>33260.769999999997</v>
      </c>
      <c r="BL5" s="4">
        <v>33256.79</v>
      </c>
      <c r="BM5" s="4">
        <v>33235.33</v>
      </c>
      <c r="BN5" s="4">
        <v>32944</v>
      </c>
      <c r="BO5" s="4">
        <v>32896</v>
      </c>
      <c r="BP5" s="4">
        <v>32894.33</v>
      </c>
      <c r="BQ5" s="17">
        <f>CORREL($C$6:$BP$6,C5:BP5)</f>
        <v>0.73234107660779013</v>
      </c>
      <c r="BR5" s="14">
        <f>AVERAGE(C5:BP5)</f>
        <v>40454.374090909099</v>
      </c>
      <c r="BS5" s="14">
        <f>_xlfn.STDEV.S(C5:BP5)</f>
        <v>15459.940365537455</v>
      </c>
      <c r="BT5" s="2">
        <f>BS5/BR5</f>
        <v>0.38215744806225072</v>
      </c>
      <c r="BU5" s="2">
        <f>BP5/C5</f>
        <v>1.1520647929253132</v>
      </c>
      <c r="BV5" s="2">
        <f>(BU5^(1/5))-1</f>
        <v>2.8715730748975821E-2</v>
      </c>
      <c r="BW5" s="18">
        <f>BV5/BT5</f>
        <v>7.5141099289260049E-2</v>
      </c>
    </row>
    <row r="6" spans="1:75" ht="15" thickBot="1" x14ac:dyDescent="0.4">
      <c r="A6" t="s">
        <v>80</v>
      </c>
      <c r="B6" s="3" t="s">
        <v>81</v>
      </c>
      <c r="C6" s="3">
        <v>13004.6</v>
      </c>
      <c r="D6" s="3">
        <v>13921.87</v>
      </c>
      <c r="E6" s="3">
        <v>15059.57</v>
      </c>
      <c r="F6" s="3">
        <v>14732.1</v>
      </c>
      <c r="G6" s="3">
        <v>15646.7</v>
      </c>
      <c r="H6" s="3">
        <v>16541.57</v>
      </c>
      <c r="I6" s="3">
        <v>17434.05</v>
      </c>
      <c r="J6" s="3">
        <v>18210.39</v>
      </c>
      <c r="K6" s="3">
        <v>17251.599999999999</v>
      </c>
      <c r="L6" s="3">
        <v>16301.95</v>
      </c>
      <c r="M6" s="3">
        <v>17322.48</v>
      </c>
      <c r="N6" s="3">
        <v>17650.95</v>
      </c>
      <c r="O6" s="3">
        <v>18356.86</v>
      </c>
      <c r="P6" s="3">
        <v>19239.259999999998</v>
      </c>
      <c r="Q6" s="3">
        <v>19499.7</v>
      </c>
      <c r="R6" s="3">
        <v>18951.82</v>
      </c>
      <c r="S6" s="3">
        <v>19829.349999999999</v>
      </c>
      <c r="T6" s="3">
        <v>20189.75</v>
      </c>
      <c r="U6" s="3">
        <v>21113.75</v>
      </c>
      <c r="V6" s="3">
        <v>23537.05</v>
      </c>
      <c r="W6" s="3">
        <v>35995.300000000003</v>
      </c>
      <c r="X6" s="3">
        <v>33415.75</v>
      </c>
      <c r="Y6" s="3">
        <v>30048.81</v>
      </c>
      <c r="Z6" s="3">
        <v>27414.47</v>
      </c>
      <c r="AA6" s="3">
        <v>22504.77</v>
      </c>
      <c r="AB6" s="3">
        <v>22059.13</v>
      </c>
      <c r="AC6" s="3">
        <v>22081.25</v>
      </c>
      <c r="AD6" s="3">
        <v>22374.77</v>
      </c>
      <c r="AE6" s="3">
        <v>23907.73</v>
      </c>
      <c r="AF6" s="3">
        <v>27482.62</v>
      </c>
      <c r="AG6" s="3">
        <v>28444.5</v>
      </c>
      <c r="AH6" s="3">
        <v>27860</v>
      </c>
      <c r="AI6" s="3">
        <v>24227</v>
      </c>
      <c r="AJ6" s="3">
        <v>23278.57</v>
      </c>
      <c r="AK6" s="3">
        <v>23317</v>
      </c>
      <c r="AL6" s="3">
        <v>21376.75</v>
      </c>
      <c r="AM6" s="3">
        <v>20663.86</v>
      </c>
      <c r="AN6" s="3">
        <v>20827.73</v>
      </c>
      <c r="AO6" s="3">
        <v>20190</v>
      </c>
      <c r="AP6" s="3">
        <v>18563.64</v>
      </c>
      <c r="AQ6" s="3">
        <v>17653.330000000002</v>
      </c>
      <c r="AR6" s="3">
        <v>16368.86</v>
      </c>
      <c r="AS6" s="3">
        <v>16151</v>
      </c>
      <c r="AT6" s="3">
        <v>16021.67</v>
      </c>
      <c r="AU6" s="3">
        <v>17424.52</v>
      </c>
      <c r="AV6" s="3">
        <v>17472.38</v>
      </c>
      <c r="AW6" s="3">
        <v>18962.11</v>
      </c>
      <c r="AX6" s="3">
        <v>18823.86</v>
      </c>
      <c r="AY6" s="3">
        <v>16812.73</v>
      </c>
      <c r="AZ6" s="3">
        <v>15908.1</v>
      </c>
      <c r="BA6" s="3">
        <v>16175.23</v>
      </c>
      <c r="BB6" s="3">
        <v>17072.14</v>
      </c>
      <c r="BC6" s="3">
        <v>15822.95</v>
      </c>
      <c r="BD6" s="3">
        <v>15660</v>
      </c>
      <c r="BE6" s="3">
        <v>15276.11</v>
      </c>
      <c r="BF6" s="3">
        <v>15276.33</v>
      </c>
      <c r="BG6" s="3">
        <v>15534.62</v>
      </c>
      <c r="BH6" s="3">
        <v>16126.33</v>
      </c>
      <c r="BI6" s="3">
        <v>15539.69</v>
      </c>
      <c r="BJ6" s="3">
        <v>15049.23</v>
      </c>
      <c r="BK6" s="3">
        <v>15415</v>
      </c>
      <c r="BL6" s="3">
        <v>15405</v>
      </c>
      <c r="BM6" s="3">
        <v>15221</v>
      </c>
      <c r="BN6" s="3">
        <v>14942.67</v>
      </c>
      <c r="BO6" s="3">
        <v>14926</v>
      </c>
      <c r="BP6" s="3">
        <v>15028.33</v>
      </c>
      <c r="BQ6" s="17">
        <f t="shared" ref="BQ6:BQ17" si="0">CORREL($C$6:$BP$6,C6:BP6)</f>
        <v>1.0000000000000002</v>
      </c>
      <c r="BR6" s="14">
        <f t="shared" ref="BR6:BR17" si="1">AVERAGE(C6:BP6)</f>
        <v>19240.881969696973</v>
      </c>
      <c r="BS6" s="14">
        <f t="shared" ref="BS6:BS17" si="2">_xlfn.STDEV.S(C6:BP6)</f>
        <v>4756.5632033599049</v>
      </c>
      <c r="BT6" s="2">
        <f t="shared" ref="BT6:BT17" si="3">BS6/BR6</f>
        <v>0.24721128744779763</v>
      </c>
      <c r="BU6" s="2">
        <f t="shared" ref="BU6:BU17" si="4">BP6/C6</f>
        <v>1.155616474170678</v>
      </c>
      <c r="BV6" s="2">
        <f t="shared" ref="BV6:BV17" si="5">(BU6^(1/5))-1</f>
        <v>2.9349232123298208E-2</v>
      </c>
      <c r="BW6" s="18">
        <f t="shared" ref="BW6:BW17" si="6">BV6/BT6</f>
        <v>0.11872124621128288</v>
      </c>
    </row>
    <row r="7" spans="1:75" ht="15" thickBot="1" x14ac:dyDescent="0.4">
      <c r="A7" t="s">
        <v>82</v>
      </c>
      <c r="B7" s="4" t="s">
        <v>83</v>
      </c>
      <c r="C7" s="4">
        <v>2088.7800000000002</v>
      </c>
      <c r="D7" s="4">
        <v>2310.7399999999998</v>
      </c>
      <c r="E7" s="4">
        <v>2467.2399999999998</v>
      </c>
      <c r="F7" s="4">
        <v>2396.2600000000002</v>
      </c>
      <c r="G7" s="4">
        <v>2585.33</v>
      </c>
      <c r="H7" s="4">
        <v>2778.95</v>
      </c>
      <c r="I7" s="4">
        <v>2762.34</v>
      </c>
      <c r="J7" s="4">
        <v>2680.76</v>
      </c>
      <c r="K7" s="4">
        <v>2799.25</v>
      </c>
      <c r="L7" s="4">
        <v>2807.29</v>
      </c>
      <c r="M7" s="4">
        <v>2920.67</v>
      </c>
      <c r="N7" s="4">
        <v>2983.55</v>
      </c>
      <c r="O7" s="4">
        <v>2915.29</v>
      </c>
      <c r="P7" s="4">
        <v>2915.29</v>
      </c>
      <c r="Q7" s="4">
        <v>3018.13</v>
      </c>
      <c r="R7" s="4">
        <v>3195.77</v>
      </c>
      <c r="S7" s="4">
        <v>3360.96</v>
      </c>
      <c r="T7" s="4">
        <v>3340.45</v>
      </c>
      <c r="U7" s="4">
        <v>3564.53</v>
      </c>
      <c r="V7" s="4">
        <v>3648</v>
      </c>
      <c r="W7" s="4">
        <v>3831.8</v>
      </c>
      <c r="X7" s="4">
        <v>4240.7299999999996</v>
      </c>
      <c r="Y7" s="4">
        <v>3964.33</v>
      </c>
      <c r="Z7" s="4">
        <v>3772.24</v>
      </c>
      <c r="AA7" s="4">
        <v>3262.23</v>
      </c>
      <c r="AB7" s="4">
        <v>3416.7</v>
      </c>
      <c r="AC7" s="4">
        <v>3342.58</v>
      </c>
      <c r="AD7" s="4">
        <v>2994.16</v>
      </c>
      <c r="AE7" s="4">
        <v>2927.73</v>
      </c>
      <c r="AF7" s="4">
        <v>3082.81</v>
      </c>
      <c r="AG7" s="4">
        <v>3135.63</v>
      </c>
      <c r="AH7" s="4">
        <v>3281.02</v>
      </c>
      <c r="AI7" s="4">
        <v>3014.45</v>
      </c>
      <c r="AJ7" s="4">
        <v>2880.95</v>
      </c>
      <c r="AK7" s="4">
        <v>2602.1999999999998</v>
      </c>
      <c r="AL7" s="4">
        <v>2352.35</v>
      </c>
      <c r="AM7" s="4">
        <v>2364.9499999999998</v>
      </c>
      <c r="AN7" s="4">
        <v>2429.0500000000002</v>
      </c>
      <c r="AO7" s="4">
        <v>2427.98</v>
      </c>
      <c r="AP7" s="4">
        <v>2482.27</v>
      </c>
      <c r="AQ7" s="4">
        <v>2509.48</v>
      </c>
      <c r="AR7" s="4">
        <v>2486.6799999999998</v>
      </c>
      <c r="AS7" s="4">
        <v>2534.5</v>
      </c>
      <c r="AT7" s="4">
        <v>2433.21</v>
      </c>
      <c r="AU7" s="4">
        <v>2433.9299999999998</v>
      </c>
      <c r="AV7" s="4">
        <v>2596.4</v>
      </c>
      <c r="AW7" s="4">
        <v>2875.42</v>
      </c>
      <c r="AX7" s="4">
        <v>2894.52</v>
      </c>
      <c r="AY7" s="4">
        <v>2861.05</v>
      </c>
      <c r="AZ7" s="4">
        <v>2631.62</v>
      </c>
      <c r="BA7" s="4">
        <v>2796.11</v>
      </c>
      <c r="BB7" s="4">
        <v>3040.48</v>
      </c>
      <c r="BC7" s="4">
        <v>3045.48</v>
      </c>
      <c r="BD7" s="4">
        <v>3052.05</v>
      </c>
      <c r="BE7" s="4">
        <v>2896.25</v>
      </c>
      <c r="BF7" s="4">
        <v>2811.47</v>
      </c>
      <c r="BG7" s="4">
        <v>2826.27</v>
      </c>
      <c r="BH7" s="4">
        <v>2902.43</v>
      </c>
      <c r="BI7" s="4">
        <v>2800.34</v>
      </c>
      <c r="BJ7" s="4">
        <v>2594.27</v>
      </c>
      <c r="BK7" s="4">
        <v>2595.88</v>
      </c>
      <c r="BL7" s="4">
        <v>2650.29</v>
      </c>
      <c r="BM7" s="4">
        <v>2659.2</v>
      </c>
      <c r="BN7" s="4">
        <v>2627.8</v>
      </c>
      <c r="BO7" s="4">
        <v>2696.83</v>
      </c>
      <c r="BP7" s="4">
        <v>2760.77</v>
      </c>
      <c r="BQ7" s="17">
        <f t="shared" si="0"/>
        <v>0.72712518669848303</v>
      </c>
      <c r="BR7" s="14">
        <f t="shared" si="1"/>
        <v>2884.2192424242412</v>
      </c>
      <c r="BS7" s="14">
        <f t="shared" si="2"/>
        <v>419.67731636548172</v>
      </c>
      <c r="BT7" s="2">
        <f t="shared" si="3"/>
        <v>0.14550811886711321</v>
      </c>
      <c r="BU7" s="2">
        <f t="shared" si="4"/>
        <v>1.321714110629171</v>
      </c>
      <c r="BV7" s="2">
        <f t="shared" si="5"/>
        <v>5.7371268453118685E-2</v>
      </c>
      <c r="BW7" s="18">
        <f t="shared" si="6"/>
        <v>0.39428224967648429</v>
      </c>
    </row>
    <row r="8" spans="1:75" ht="15" thickBot="1" x14ac:dyDescent="0.4">
      <c r="A8" t="s">
        <v>84</v>
      </c>
      <c r="B8" s="10" t="s">
        <v>85</v>
      </c>
      <c r="C8" s="10">
        <v>6150.3</v>
      </c>
      <c r="D8" s="10">
        <v>6447.8</v>
      </c>
      <c r="E8" s="10">
        <v>6701.07</v>
      </c>
      <c r="F8" s="10">
        <v>6639.12</v>
      </c>
      <c r="G8" s="10">
        <v>6874.41</v>
      </c>
      <c r="H8" s="10">
        <v>7607.31</v>
      </c>
      <c r="I8" s="10">
        <v>7921.82</v>
      </c>
      <c r="J8" s="10">
        <v>8101.57</v>
      </c>
      <c r="K8" s="10">
        <v>9099.58</v>
      </c>
      <c r="L8" s="10">
        <v>8994.9699999999993</v>
      </c>
      <c r="M8" s="10">
        <v>10031.36</v>
      </c>
      <c r="N8" s="10">
        <v>9869</v>
      </c>
      <c r="O8" s="10">
        <v>9334.07</v>
      </c>
      <c r="P8" s="10">
        <v>9448.7999999999993</v>
      </c>
      <c r="Q8" s="10">
        <v>9360.7800000000007</v>
      </c>
      <c r="R8" s="10">
        <v>9470.34</v>
      </c>
      <c r="S8" s="10">
        <v>9844.41</v>
      </c>
      <c r="T8" s="10">
        <v>9604</v>
      </c>
      <c r="U8" s="10">
        <v>9687.33</v>
      </c>
      <c r="V8" s="10">
        <v>9888.14</v>
      </c>
      <c r="W8" s="10">
        <v>10124.75</v>
      </c>
      <c r="X8" s="10">
        <v>10311.18</v>
      </c>
      <c r="Y8" s="10">
        <v>9581.83</v>
      </c>
      <c r="Z8" s="10">
        <v>9428.5300000000007</v>
      </c>
      <c r="AA8" s="10">
        <v>7957.07</v>
      </c>
      <c r="AB8" s="10">
        <v>7780.24</v>
      </c>
      <c r="AC8" s="10">
        <v>7901.75</v>
      </c>
      <c r="AD8" s="10">
        <v>7608.77</v>
      </c>
      <c r="AE8" s="10">
        <v>7890.73</v>
      </c>
      <c r="AF8" s="10">
        <v>8235.57</v>
      </c>
      <c r="AG8" s="10">
        <v>8671.85</v>
      </c>
      <c r="AH8" s="10">
        <v>9070.33</v>
      </c>
      <c r="AI8" s="10">
        <v>8843.1</v>
      </c>
      <c r="AJ8" s="10">
        <v>8910.6200000000008</v>
      </c>
      <c r="AK8" s="10">
        <v>8458.3799999999992</v>
      </c>
      <c r="AL8" s="10">
        <v>8247.1</v>
      </c>
      <c r="AM8" s="10">
        <v>8394.61</v>
      </c>
      <c r="AN8" s="10">
        <v>8420.14</v>
      </c>
      <c r="AO8" s="10">
        <v>8353.2099999999991</v>
      </c>
      <c r="AP8" s="10">
        <v>8007.89</v>
      </c>
      <c r="AQ8" s="10">
        <v>8032.14</v>
      </c>
      <c r="AR8" s="10">
        <v>8331.57</v>
      </c>
      <c r="AS8" s="10">
        <v>8359.5300000000007</v>
      </c>
      <c r="AT8" s="10">
        <v>8313.83</v>
      </c>
      <c r="AU8" s="10">
        <v>8544.57</v>
      </c>
      <c r="AV8" s="10">
        <v>9134.1200000000008</v>
      </c>
      <c r="AW8" s="10">
        <v>9900.58</v>
      </c>
      <c r="AX8" s="10">
        <v>9978.75</v>
      </c>
      <c r="AY8" s="10">
        <v>9579.11</v>
      </c>
      <c r="AZ8" s="10">
        <v>8903.07</v>
      </c>
      <c r="BA8" s="10">
        <v>9093.91</v>
      </c>
      <c r="BB8" s="10">
        <v>9617</v>
      </c>
      <c r="BC8" s="10">
        <v>9280.23</v>
      </c>
      <c r="BD8" s="10">
        <v>8945.2999999999993</v>
      </c>
      <c r="BE8" s="10">
        <v>8895.14</v>
      </c>
      <c r="BF8" s="10">
        <v>9362.83</v>
      </c>
      <c r="BG8" s="10">
        <v>9484</v>
      </c>
      <c r="BH8" s="10">
        <v>9763.8700000000008</v>
      </c>
      <c r="BI8" s="10">
        <v>9525.19</v>
      </c>
      <c r="BJ8" s="10">
        <v>9096.92</v>
      </c>
      <c r="BK8" s="10">
        <v>9384.3799999999992</v>
      </c>
      <c r="BL8" s="10">
        <v>9530.36</v>
      </c>
      <c r="BM8" s="10">
        <v>9649.6299999999992</v>
      </c>
      <c r="BN8" s="10">
        <v>9822.07</v>
      </c>
      <c r="BO8" s="10">
        <v>9952.5300000000007</v>
      </c>
      <c r="BP8" s="10">
        <v>9725.3700000000008</v>
      </c>
      <c r="BQ8" s="17">
        <f t="shared" si="0"/>
        <v>0.20193620310394056</v>
      </c>
      <c r="BR8" s="14">
        <f t="shared" si="1"/>
        <v>8840.6034848484851</v>
      </c>
      <c r="BS8" s="14">
        <f t="shared" si="2"/>
        <v>964.81217252890849</v>
      </c>
      <c r="BT8" s="2">
        <f t="shared" si="3"/>
        <v>0.10913419815541517</v>
      </c>
      <c r="BU8" s="2">
        <f t="shared" si="4"/>
        <v>1.581283839812692</v>
      </c>
      <c r="BV8" s="2">
        <f t="shared" si="5"/>
        <v>9.5978328196901996E-2</v>
      </c>
      <c r="BW8" s="18">
        <f t="shared" si="6"/>
        <v>0.87945236066353605</v>
      </c>
    </row>
    <row r="9" spans="1:75" ht="15" thickBot="1" x14ac:dyDescent="0.4">
      <c r="A9" t="s">
        <v>86</v>
      </c>
      <c r="B9" s="3" t="s">
        <v>87</v>
      </c>
      <c r="C9" s="3">
        <v>1605.78</v>
      </c>
      <c r="D9" s="3">
        <v>1700.65</v>
      </c>
      <c r="E9" s="3">
        <v>1749.55</v>
      </c>
      <c r="F9" s="3">
        <v>1768.52</v>
      </c>
      <c r="G9" s="3">
        <v>1874</v>
      </c>
      <c r="H9" s="3">
        <v>2010.1</v>
      </c>
      <c r="I9" s="3">
        <v>2006.63</v>
      </c>
      <c r="J9" s="3">
        <v>2029.61</v>
      </c>
      <c r="K9" s="3">
        <v>2171.5500000000002</v>
      </c>
      <c r="L9" s="3">
        <v>2255.2600000000002</v>
      </c>
      <c r="M9" s="3">
        <v>2433.88</v>
      </c>
      <c r="N9" s="3">
        <v>2418.5500000000002</v>
      </c>
      <c r="O9" s="3">
        <v>2466.4499999999998</v>
      </c>
      <c r="P9" s="3">
        <v>2557.3000000000002</v>
      </c>
      <c r="Q9" s="3">
        <v>2748.9</v>
      </c>
      <c r="R9" s="3">
        <v>2961.68</v>
      </c>
      <c r="S9" s="3">
        <v>2709.41</v>
      </c>
      <c r="T9" s="3">
        <v>2650.05</v>
      </c>
      <c r="U9" s="3">
        <v>2883.35</v>
      </c>
      <c r="V9" s="3">
        <v>3159.86</v>
      </c>
      <c r="W9" s="3">
        <v>3483.9</v>
      </c>
      <c r="X9" s="3">
        <v>3440.38</v>
      </c>
      <c r="Y9" s="3">
        <v>2931.62</v>
      </c>
      <c r="Z9" s="3">
        <v>2738.74</v>
      </c>
      <c r="AA9" s="3">
        <v>2412.5700000000002</v>
      </c>
      <c r="AB9" s="3">
        <v>2436.52</v>
      </c>
      <c r="AC9" s="3">
        <v>2324.0500000000002</v>
      </c>
      <c r="AD9" s="3">
        <v>2225.5</v>
      </c>
      <c r="AE9" s="3">
        <v>2282.98</v>
      </c>
      <c r="AF9" s="3">
        <v>2393.71</v>
      </c>
      <c r="AG9" s="3">
        <v>2402.5300000000002</v>
      </c>
      <c r="AH9" s="3">
        <v>2501.5500000000002</v>
      </c>
      <c r="AI9" s="3">
        <v>2313.8000000000002</v>
      </c>
      <c r="AJ9" s="3">
        <v>2313.4499999999998</v>
      </c>
      <c r="AK9" s="3">
        <v>2307.0300000000002</v>
      </c>
      <c r="AL9" s="3">
        <v>2218.4499999999998</v>
      </c>
      <c r="AM9" s="3">
        <v>2141.25</v>
      </c>
      <c r="AN9" s="3">
        <v>2151.5700000000002</v>
      </c>
      <c r="AO9" s="3">
        <v>2144.36</v>
      </c>
      <c r="AP9" s="3">
        <v>2201.0700000000002</v>
      </c>
      <c r="AQ9" s="3">
        <v>2205.4</v>
      </c>
      <c r="AR9" s="3">
        <v>2154.0700000000002</v>
      </c>
      <c r="AS9" s="3">
        <v>2214.2800000000002</v>
      </c>
      <c r="AT9" s="3">
        <v>2195</v>
      </c>
      <c r="AU9" s="3">
        <v>2187.0500000000002</v>
      </c>
      <c r="AV9" s="3">
        <v>2390.31</v>
      </c>
      <c r="AW9" s="3">
        <v>2539.08</v>
      </c>
      <c r="AX9" s="3">
        <v>2562.36</v>
      </c>
      <c r="AY9" s="3">
        <v>2440.3200000000002</v>
      </c>
      <c r="AZ9" s="3">
        <v>2244.1</v>
      </c>
      <c r="BA9" s="3">
        <v>2430.3200000000002</v>
      </c>
      <c r="BB9" s="3">
        <v>2571.5</v>
      </c>
      <c r="BC9" s="3">
        <v>2591.86</v>
      </c>
      <c r="BD9" s="3">
        <v>2565.23</v>
      </c>
      <c r="BE9" s="3">
        <v>2531.9699999999998</v>
      </c>
      <c r="BF9" s="3">
        <v>2659.1</v>
      </c>
      <c r="BG9" s="3">
        <v>2673.04</v>
      </c>
      <c r="BH9" s="3">
        <v>2687.27</v>
      </c>
      <c r="BI9" s="3">
        <v>2517.4699999999998</v>
      </c>
      <c r="BJ9" s="3">
        <v>2355.31</v>
      </c>
      <c r="BK9" s="3">
        <v>2392.88</v>
      </c>
      <c r="BL9" s="3">
        <v>2443.3200000000002</v>
      </c>
      <c r="BM9" s="3">
        <v>2457.13</v>
      </c>
      <c r="BN9" s="3">
        <v>2515.1</v>
      </c>
      <c r="BO9" s="3">
        <v>2577.4</v>
      </c>
      <c r="BP9" s="3">
        <v>2604.4</v>
      </c>
      <c r="BQ9" s="17">
        <f t="shared" si="0"/>
        <v>0.53116686235775423</v>
      </c>
      <c r="BR9" s="14">
        <f t="shared" si="1"/>
        <v>2412.5966666666673</v>
      </c>
      <c r="BS9" s="14">
        <f t="shared" si="2"/>
        <v>348.71486262178649</v>
      </c>
      <c r="BT9" s="2">
        <f t="shared" si="3"/>
        <v>0.14453922922126219</v>
      </c>
      <c r="BU9" s="2">
        <f t="shared" si="4"/>
        <v>1.6218909190549142</v>
      </c>
      <c r="BV9" s="2">
        <f t="shared" si="5"/>
        <v>0.10155028820047329</v>
      </c>
      <c r="BW9" s="18">
        <f t="shared" si="6"/>
        <v>0.70257942253876993</v>
      </c>
    </row>
    <row r="10" spans="1:75" ht="15" thickBot="1" x14ac:dyDescent="0.4">
      <c r="A10" t="s">
        <v>88</v>
      </c>
      <c r="B10" s="3" t="s">
        <v>89</v>
      </c>
      <c r="C10" s="3">
        <v>1793.25</v>
      </c>
      <c r="D10" s="3">
        <v>1874.8</v>
      </c>
      <c r="E10" s="3">
        <v>1927.1</v>
      </c>
      <c r="F10" s="3">
        <v>1799.07</v>
      </c>
      <c r="G10" s="3">
        <v>1826</v>
      </c>
      <c r="H10" s="3">
        <v>2044.26</v>
      </c>
      <c r="I10" s="3">
        <v>1988.58</v>
      </c>
      <c r="J10" s="3">
        <v>2054.63</v>
      </c>
      <c r="K10" s="3">
        <v>2011.18</v>
      </c>
      <c r="L10" s="3">
        <v>1958.34</v>
      </c>
      <c r="M10" s="3">
        <v>2128.5500000000002</v>
      </c>
      <c r="N10" s="3">
        <v>2173.67</v>
      </c>
      <c r="O10" s="3">
        <v>2273.14</v>
      </c>
      <c r="P10" s="3">
        <v>2402.67</v>
      </c>
      <c r="Q10" s="3">
        <v>2369.8000000000002</v>
      </c>
      <c r="R10" s="3">
        <v>2232.09</v>
      </c>
      <c r="S10" s="3">
        <v>2390</v>
      </c>
      <c r="T10" s="3">
        <v>2300.15</v>
      </c>
      <c r="U10" s="3">
        <v>2331.65</v>
      </c>
      <c r="V10" s="3">
        <v>2301.02</v>
      </c>
      <c r="W10" s="3">
        <v>2363.75</v>
      </c>
      <c r="X10" s="3">
        <v>2392.1</v>
      </c>
      <c r="Y10" s="3">
        <v>2224.7600000000002</v>
      </c>
      <c r="Z10" s="3">
        <v>2138.9499999999998</v>
      </c>
      <c r="AA10" s="3">
        <v>1966.91</v>
      </c>
      <c r="AB10" s="3">
        <v>2082.87</v>
      </c>
      <c r="AC10" s="3">
        <v>1935.83</v>
      </c>
      <c r="AD10" s="3">
        <v>1943.09</v>
      </c>
      <c r="AE10" s="3">
        <v>2031</v>
      </c>
      <c r="AF10" s="3">
        <v>2156.9</v>
      </c>
      <c r="AG10" s="3">
        <v>2254.7800000000002</v>
      </c>
      <c r="AH10" s="3">
        <v>2115.4</v>
      </c>
      <c r="AI10" s="3">
        <v>2096.1999999999998</v>
      </c>
      <c r="AJ10" s="3">
        <v>2143.38</v>
      </c>
      <c r="AK10" s="3">
        <v>2122.1</v>
      </c>
      <c r="AL10" s="3">
        <v>2076.4299999999998</v>
      </c>
      <c r="AM10" s="3">
        <v>2119.39</v>
      </c>
      <c r="AN10" s="3">
        <v>2132.09</v>
      </c>
      <c r="AO10" s="3">
        <v>2246.14</v>
      </c>
      <c r="AP10" s="3">
        <v>2162.1799999999998</v>
      </c>
      <c r="AQ10" s="3">
        <v>2166.9299999999998</v>
      </c>
      <c r="AR10" s="3">
        <v>2096.5</v>
      </c>
      <c r="AS10" s="3">
        <v>2046.35</v>
      </c>
      <c r="AT10" s="3">
        <v>2111.6</v>
      </c>
      <c r="AU10" s="3">
        <v>2089.4</v>
      </c>
      <c r="AV10" s="3">
        <v>2071.5500000000002</v>
      </c>
      <c r="AW10" s="3">
        <v>2181.6799999999998</v>
      </c>
      <c r="AX10" s="3">
        <v>2196.0500000000002</v>
      </c>
      <c r="AY10" s="3">
        <v>2154.9299999999998</v>
      </c>
      <c r="AZ10" s="3">
        <v>1993.69</v>
      </c>
      <c r="BA10" s="3">
        <v>2008</v>
      </c>
      <c r="BB10" s="3">
        <v>2054.4299999999998</v>
      </c>
      <c r="BC10" s="3">
        <v>1989.41</v>
      </c>
      <c r="BD10" s="3">
        <v>2012.14</v>
      </c>
      <c r="BE10" s="3">
        <v>1927.97</v>
      </c>
      <c r="BF10" s="3">
        <v>1956.43</v>
      </c>
      <c r="BG10" s="3">
        <v>1978.5</v>
      </c>
      <c r="BH10" s="3">
        <v>2041.23</v>
      </c>
      <c r="BI10" s="3">
        <v>1976.31</v>
      </c>
      <c r="BJ10" s="3">
        <v>1890.35</v>
      </c>
      <c r="BK10" s="3">
        <v>1939.08</v>
      </c>
      <c r="BL10" s="3">
        <v>1961.68</v>
      </c>
      <c r="BM10" s="3">
        <v>1954.9</v>
      </c>
      <c r="BN10" s="3">
        <v>1966.93</v>
      </c>
      <c r="BO10" s="3">
        <v>2009.27</v>
      </c>
      <c r="BP10" s="3">
        <v>1991.1</v>
      </c>
      <c r="BQ10" s="17">
        <f t="shared" si="0"/>
        <v>0.5945580282180607</v>
      </c>
      <c r="BR10" s="14">
        <f t="shared" si="1"/>
        <v>2085.6153030303026</v>
      </c>
      <c r="BS10" s="14">
        <f t="shared" si="2"/>
        <v>147.41449198375935</v>
      </c>
      <c r="BT10" s="2">
        <f t="shared" si="3"/>
        <v>7.0681535453625086E-2</v>
      </c>
      <c r="BU10" s="2">
        <f t="shared" si="4"/>
        <v>1.1103304056879966</v>
      </c>
      <c r="BV10" s="2">
        <f t="shared" si="5"/>
        <v>2.1152127651627772E-2</v>
      </c>
      <c r="BW10" s="18">
        <f t="shared" si="6"/>
        <v>0.29925959468588387</v>
      </c>
    </row>
    <row r="11" spans="1:75" s="9" customFormat="1" ht="15" thickBot="1" x14ac:dyDescent="0.4">
      <c r="A11" s="9" t="s">
        <v>10</v>
      </c>
      <c r="B11" s="3" t="s">
        <v>90</v>
      </c>
      <c r="C11" s="3">
        <v>50.34</v>
      </c>
      <c r="D11" s="3">
        <v>49.42</v>
      </c>
      <c r="E11" s="3">
        <v>51</v>
      </c>
      <c r="F11" s="3">
        <v>55.71</v>
      </c>
      <c r="G11" s="3">
        <v>59.65</v>
      </c>
      <c r="H11" s="3">
        <v>75.84</v>
      </c>
      <c r="I11" s="3">
        <v>87.79</v>
      </c>
      <c r="J11" s="3">
        <v>84.47</v>
      </c>
      <c r="K11" s="3">
        <v>86.68</v>
      </c>
      <c r="L11" s="3">
        <v>89.74</v>
      </c>
      <c r="M11" s="3">
        <v>100.33</v>
      </c>
      <c r="N11" s="3">
        <v>115.35</v>
      </c>
      <c r="O11" s="3">
        <v>130.99</v>
      </c>
      <c r="P11" s="3">
        <v>150.03</v>
      </c>
      <c r="Q11" s="3">
        <v>161.63</v>
      </c>
      <c r="R11" s="3">
        <v>215.01</v>
      </c>
      <c r="S11" s="3">
        <v>159.79</v>
      </c>
      <c r="T11" s="3">
        <v>158.5</v>
      </c>
      <c r="U11" s="3">
        <v>188.38</v>
      </c>
      <c r="V11" s="3">
        <v>203.69</v>
      </c>
      <c r="W11" s="3">
        <v>288.39999999999998</v>
      </c>
      <c r="X11" s="3">
        <v>275.64</v>
      </c>
      <c r="Y11" s="3">
        <v>323.91000000000003</v>
      </c>
      <c r="Z11" s="3">
        <v>319</v>
      </c>
      <c r="AA11" s="3">
        <v>321.58999999999997</v>
      </c>
      <c r="AB11" s="3">
        <v>319.22000000000003</v>
      </c>
      <c r="AC11" s="3">
        <v>330.97</v>
      </c>
      <c r="AD11" s="3">
        <v>308.2</v>
      </c>
      <c r="AE11" s="3">
        <v>281.48</v>
      </c>
      <c r="AF11" s="3">
        <v>305.20999999999998</v>
      </c>
      <c r="AG11" s="3">
        <v>277.05</v>
      </c>
      <c r="AH11" s="3">
        <v>283.08</v>
      </c>
      <c r="AI11" s="3">
        <v>265.26</v>
      </c>
      <c r="AJ11" s="3">
        <v>206.16</v>
      </c>
      <c r="AK11" s="3">
        <v>191.26</v>
      </c>
      <c r="AL11" s="3">
        <v>191.6</v>
      </c>
      <c r="AM11" s="3">
        <v>179.9</v>
      </c>
      <c r="AN11" s="3">
        <v>133.13</v>
      </c>
      <c r="AO11" s="3">
        <v>123.96</v>
      </c>
      <c r="AP11" s="3">
        <v>139.80000000000001</v>
      </c>
      <c r="AQ11" s="3">
        <v>117.38</v>
      </c>
      <c r="AR11" s="3">
        <v>125.85</v>
      </c>
      <c r="AS11" s="3">
        <v>124.95</v>
      </c>
      <c r="AT11" s="3">
        <v>109.77</v>
      </c>
      <c r="AU11" s="3">
        <v>121.13</v>
      </c>
      <c r="AV11" s="3">
        <v>114.06</v>
      </c>
      <c r="AW11" s="3">
        <v>123</v>
      </c>
      <c r="AX11" s="3">
        <v>130.44</v>
      </c>
      <c r="AY11" s="3">
        <v>115.29</v>
      </c>
      <c r="AZ11" s="3">
        <v>125.15</v>
      </c>
      <c r="BA11" s="3">
        <v>131.16999999999999</v>
      </c>
      <c r="BB11" s="3">
        <v>114.43</v>
      </c>
      <c r="BC11" s="3">
        <v>122.51</v>
      </c>
      <c r="BD11" s="3">
        <v>124.01</v>
      </c>
      <c r="BE11" s="3">
        <v>124.24</v>
      </c>
      <c r="BF11" s="3">
        <v>128.24</v>
      </c>
      <c r="BG11" s="3">
        <v>117.76</v>
      </c>
      <c r="BH11" s="3">
        <v>123.32</v>
      </c>
      <c r="BI11" s="3">
        <v>120.2</v>
      </c>
      <c r="BJ11" s="3">
        <v>121.15</v>
      </c>
      <c r="BK11" s="3">
        <v>110.38</v>
      </c>
      <c r="BL11" s="3">
        <v>100.97</v>
      </c>
      <c r="BM11" s="3">
        <v>98.61</v>
      </c>
      <c r="BN11" s="3">
        <v>107.35</v>
      </c>
      <c r="BO11" s="3">
        <v>97.65</v>
      </c>
      <c r="BP11" s="3">
        <v>102.22</v>
      </c>
      <c r="BQ11" s="17">
        <f t="shared" si="0"/>
        <v>0.84567341584071576</v>
      </c>
      <c r="BR11" s="14">
        <f t="shared" si="1"/>
        <v>157.43015151515152</v>
      </c>
      <c r="BS11" s="14">
        <f t="shared" si="2"/>
        <v>79.827776590365474</v>
      </c>
      <c r="BT11" s="2">
        <f t="shared" si="3"/>
        <v>0.50706790168262417</v>
      </c>
      <c r="BU11" s="2">
        <f t="shared" si="4"/>
        <v>2.030591974572904</v>
      </c>
      <c r="BV11" s="2">
        <f t="shared" si="5"/>
        <v>0.15219114469774619</v>
      </c>
      <c r="BW11" s="18">
        <f t="shared" si="6"/>
        <v>0.30013957537585023</v>
      </c>
    </row>
    <row r="12" spans="1:75" s="11" customFormat="1" ht="15" thickBot="1" x14ac:dyDescent="0.4">
      <c r="A12" s="11" t="s">
        <v>91</v>
      </c>
      <c r="B12" s="4" t="s">
        <v>92</v>
      </c>
      <c r="C12" s="4">
        <v>9.3800000000000008</v>
      </c>
      <c r="D12" s="4">
        <v>9.06</v>
      </c>
      <c r="E12" s="4">
        <v>9.0500000000000007</v>
      </c>
      <c r="F12" s="4">
        <v>8.98</v>
      </c>
      <c r="G12" s="4">
        <v>8.98</v>
      </c>
      <c r="H12" s="4">
        <v>9.24</v>
      </c>
      <c r="I12" s="4">
        <v>9.8000000000000007</v>
      </c>
      <c r="J12" s="4">
        <v>11.1</v>
      </c>
      <c r="K12" s="4">
        <v>11.52</v>
      </c>
      <c r="L12" s="4">
        <v>11.88</v>
      </c>
      <c r="M12" s="4">
        <v>12.68</v>
      </c>
      <c r="N12" s="4">
        <v>13.18</v>
      </c>
      <c r="O12" s="4">
        <v>13.19</v>
      </c>
      <c r="P12" s="4">
        <v>13.08</v>
      </c>
      <c r="Q12" s="4">
        <v>13.15</v>
      </c>
      <c r="R12" s="4">
        <v>13.42</v>
      </c>
      <c r="S12" s="4">
        <v>14.25</v>
      </c>
      <c r="T12" s="4">
        <v>15.42</v>
      </c>
      <c r="U12" s="4">
        <v>15.6</v>
      </c>
      <c r="V12" s="4">
        <v>15.78</v>
      </c>
      <c r="W12" s="4">
        <v>16.12</v>
      </c>
      <c r="X12" s="4">
        <v>16.47</v>
      </c>
      <c r="Y12" s="4">
        <v>16.829999999999998</v>
      </c>
      <c r="Z12" s="4">
        <v>17.27</v>
      </c>
      <c r="AA12" s="4">
        <v>17.16</v>
      </c>
      <c r="AB12" s="4">
        <v>16.22</v>
      </c>
      <c r="AC12" s="4">
        <v>15.33</v>
      </c>
      <c r="AD12" s="4">
        <v>14.32</v>
      </c>
      <c r="AE12" s="4">
        <v>14.09</v>
      </c>
      <c r="AF12" s="4">
        <v>14.2</v>
      </c>
      <c r="AG12" s="4">
        <v>14.74</v>
      </c>
      <c r="AH12" s="4">
        <v>14.73</v>
      </c>
      <c r="AI12" s="4">
        <v>14.73</v>
      </c>
      <c r="AJ12" s="4">
        <v>14.86</v>
      </c>
      <c r="AK12" s="4">
        <v>14.9</v>
      </c>
      <c r="AL12" s="4">
        <v>13.66</v>
      </c>
      <c r="AM12" s="4">
        <v>12.79</v>
      </c>
      <c r="AN12" s="4">
        <v>12.66</v>
      </c>
      <c r="AO12" s="4">
        <v>12.4</v>
      </c>
      <c r="AP12" s="4">
        <v>12.18</v>
      </c>
      <c r="AQ12" s="4">
        <v>12.03</v>
      </c>
      <c r="AR12" s="4">
        <v>12.19</v>
      </c>
      <c r="AS12" s="4">
        <v>12.24</v>
      </c>
      <c r="AT12" s="4">
        <v>12.3</v>
      </c>
      <c r="AU12" s="4">
        <v>12.21</v>
      </c>
      <c r="AV12" s="4">
        <v>12.13</v>
      </c>
      <c r="AW12" s="4">
        <v>12.18</v>
      </c>
      <c r="AX12" s="4">
        <v>12.28</v>
      </c>
      <c r="AY12" s="4">
        <v>11.94</v>
      </c>
      <c r="AZ12" s="4">
        <v>11.79</v>
      </c>
      <c r="BA12" s="4">
        <v>11.7</v>
      </c>
      <c r="BB12" s="4">
        <v>11.64</v>
      </c>
      <c r="BC12" s="4">
        <v>11.12</v>
      </c>
      <c r="BD12" s="4">
        <v>10.67</v>
      </c>
      <c r="BE12" s="4">
        <v>10.65</v>
      </c>
      <c r="BF12" s="4">
        <v>10.74</v>
      </c>
      <c r="BG12" s="4">
        <v>10.74</v>
      </c>
      <c r="BH12" s="4">
        <v>10.77</v>
      </c>
      <c r="BI12" s="4">
        <v>10.72</v>
      </c>
      <c r="BJ12" s="4">
        <v>10.67</v>
      </c>
      <c r="BK12" s="4">
        <v>10.71</v>
      </c>
      <c r="BL12" s="4">
        <v>10.81</v>
      </c>
      <c r="BM12" s="4">
        <v>10.84</v>
      </c>
      <c r="BN12" s="4">
        <v>10.86</v>
      </c>
      <c r="BO12" s="4">
        <v>10.87</v>
      </c>
      <c r="BP12" s="4">
        <v>10.28</v>
      </c>
      <c r="BQ12" s="17">
        <f t="shared" si="0"/>
        <v>0.83726714305357974</v>
      </c>
      <c r="BR12" s="14">
        <f t="shared" si="1"/>
        <v>12.567878787878787</v>
      </c>
      <c r="BS12" s="14">
        <f t="shared" si="2"/>
        <v>2.1862855856462842</v>
      </c>
      <c r="BT12" s="2">
        <f t="shared" si="3"/>
        <v>0.17395820110509569</v>
      </c>
      <c r="BU12" s="2">
        <f t="shared" si="4"/>
        <v>1.0959488272921107</v>
      </c>
      <c r="BV12" s="2">
        <f t="shared" si="5"/>
        <v>1.8493015881265285E-2</v>
      </c>
      <c r="BW12" s="18">
        <f t="shared" si="6"/>
        <v>0.10630723796742904</v>
      </c>
    </row>
    <row r="13" spans="1:75" s="11" customFormat="1" ht="15" thickBot="1" x14ac:dyDescent="0.4">
      <c r="A13" s="11" t="s">
        <v>93</v>
      </c>
      <c r="B13" s="3" t="s">
        <v>94</v>
      </c>
      <c r="C13" s="3">
        <v>5.03</v>
      </c>
      <c r="D13" s="3">
        <v>3.97</v>
      </c>
      <c r="E13" s="3">
        <v>3.94</v>
      </c>
      <c r="F13" s="3">
        <v>3.98</v>
      </c>
      <c r="G13" s="3">
        <v>3.98</v>
      </c>
      <c r="H13" s="3">
        <v>3.78</v>
      </c>
      <c r="I13" s="3">
        <v>3.88</v>
      </c>
      <c r="J13" s="3">
        <v>3.88</v>
      </c>
      <c r="K13" s="3">
        <v>3.98</v>
      </c>
      <c r="L13" s="3">
        <v>4.08</v>
      </c>
      <c r="M13" s="3">
        <v>4.05</v>
      </c>
      <c r="N13" s="3">
        <v>3.98</v>
      </c>
      <c r="O13" s="3">
        <v>3.98</v>
      </c>
      <c r="P13" s="3">
        <v>3.98</v>
      </c>
      <c r="Q13" s="3">
        <v>3.98</v>
      </c>
      <c r="R13" s="3">
        <v>3.98</v>
      </c>
      <c r="S13" s="3">
        <v>4.01</v>
      </c>
      <c r="T13" s="3">
        <v>4.0999999999999996</v>
      </c>
      <c r="U13" s="3">
        <v>4.13</v>
      </c>
      <c r="V13" s="3">
        <v>4.13</v>
      </c>
      <c r="W13" s="3">
        <v>4.13</v>
      </c>
      <c r="X13" s="3">
        <v>4.13</v>
      </c>
      <c r="Y13" s="3">
        <v>4.2300000000000004</v>
      </c>
      <c r="Z13" s="3">
        <v>4.2300000000000004</v>
      </c>
      <c r="AA13" s="3">
        <v>4.2300000000000004</v>
      </c>
      <c r="AB13" s="3">
        <v>4.2300000000000004</v>
      </c>
      <c r="AC13" s="3">
        <v>4.17</v>
      </c>
      <c r="AD13" s="3">
        <v>4.03</v>
      </c>
      <c r="AE13" s="3">
        <v>4.07</v>
      </c>
      <c r="AF13" s="3">
        <v>4.08</v>
      </c>
      <c r="AG13" s="3">
        <v>4.08</v>
      </c>
      <c r="AH13" s="3">
        <v>4.08</v>
      </c>
      <c r="AI13" s="3">
        <v>4.08</v>
      </c>
      <c r="AJ13" s="3">
        <v>4.0999999999999996</v>
      </c>
      <c r="AK13" s="3">
        <v>4.28</v>
      </c>
      <c r="AL13" s="3">
        <v>4.0199999999999996</v>
      </c>
      <c r="AM13" s="3">
        <v>3.82</v>
      </c>
      <c r="AN13" s="3">
        <v>3.63</v>
      </c>
      <c r="AO13" s="3">
        <v>3.58</v>
      </c>
      <c r="AP13" s="3">
        <v>3.56</v>
      </c>
      <c r="AQ13" s="3">
        <v>3.55</v>
      </c>
      <c r="AR13" s="3">
        <v>3.52</v>
      </c>
      <c r="AS13" s="3">
        <v>3.48</v>
      </c>
      <c r="AT13" s="3">
        <v>3.52</v>
      </c>
      <c r="AU13" s="3">
        <v>3.52</v>
      </c>
      <c r="AV13" s="3">
        <v>3.53</v>
      </c>
      <c r="AW13" s="3">
        <v>3.54</v>
      </c>
      <c r="AX13" s="3">
        <v>3.54</v>
      </c>
      <c r="AY13" s="3">
        <v>3.85</v>
      </c>
      <c r="AZ13" s="3">
        <v>4.1399999999999997</v>
      </c>
      <c r="BA13" s="3">
        <v>3.94</v>
      </c>
      <c r="BB13" s="3">
        <v>3.73</v>
      </c>
      <c r="BC13" s="3">
        <v>3.71</v>
      </c>
      <c r="BD13" s="3">
        <v>3.28</v>
      </c>
      <c r="BE13" s="3">
        <v>2.98</v>
      </c>
      <c r="BF13" s="3">
        <v>3.01</v>
      </c>
      <c r="BG13" s="3">
        <v>3.03</v>
      </c>
      <c r="BH13" s="3">
        <v>3.04</v>
      </c>
      <c r="BI13" s="3">
        <v>3.03</v>
      </c>
      <c r="BJ13" s="3">
        <v>2.99</v>
      </c>
      <c r="BK13" s="3">
        <v>3</v>
      </c>
      <c r="BL13" s="3">
        <v>3.12</v>
      </c>
      <c r="BM13" s="3">
        <v>3.18</v>
      </c>
      <c r="BN13" s="3">
        <v>3.18</v>
      </c>
      <c r="BO13" s="3">
        <v>3.18</v>
      </c>
      <c r="BP13" s="3">
        <v>3.22</v>
      </c>
      <c r="BQ13" s="17">
        <f t="shared" si="0"/>
        <v>0.49071933852041683</v>
      </c>
      <c r="BR13" s="14">
        <f t="shared" si="1"/>
        <v>3.7786363636363638</v>
      </c>
      <c r="BS13" s="14">
        <f t="shared" si="2"/>
        <v>0.42374842450765798</v>
      </c>
      <c r="BT13" s="2">
        <f t="shared" si="3"/>
        <v>0.11214321351098852</v>
      </c>
      <c r="BU13" s="2">
        <f t="shared" si="4"/>
        <v>0.64015904572564608</v>
      </c>
      <c r="BV13" s="2">
        <f t="shared" si="5"/>
        <v>-8.5344442904696671E-2</v>
      </c>
      <c r="BW13" s="18">
        <f t="shared" si="6"/>
        <v>-0.76103083042411712</v>
      </c>
    </row>
    <row r="14" spans="1:75" ht="15" thickBot="1" x14ac:dyDescent="0.4">
      <c r="A14" t="s">
        <v>95</v>
      </c>
      <c r="B14" s="10" t="s">
        <v>96</v>
      </c>
      <c r="C14" s="10">
        <v>1.53</v>
      </c>
      <c r="D14" s="10">
        <v>1.7</v>
      </c>
      <c r="E14" s="10">
        <v>1.88</v>
      </c>
      <c r="F14" s="10">
        <v>1.76</v>
      </c>
      <c r="G14" s="10">
        <v>1.77</v>
      </c>
      <c r="H14" s="10">
        <v>2.11</v>
      </c>
      <c r="I14" s="10">
        <v>2.52</v>
      </c>
      <c r="J14" s="10">
        <v>2.46</v>
      </c>
      <c r="K14" s="10">
        <v>2.59</v>
      </c>
      <c r="L14" s="10">
        <v>2.54</v>
      </c>
      <c r="M14" s="10">
        <v>3.06</v>
      </c>
      <c r="N14" s="10">
        <v>3.15</v>
      </c>
      <c r="O14" s="10">
        <v>3.35</v>
      </c>
      <c r="P14" s="10">
        <v>2.82</v>
      </c>
      <c r="Q14" s="10">
        <v>2.06</v>
      </c>
      <c r="R14" s="10">
        <v>1.69</v>
      </c>
      <c r="S14" s="10">
        <v>1.53</v>
      </c>
      <c r="T14" s="10">
        <v>1.48</v>
      </c>
      <c r="U14" s="10">
        <v>1.83</v>
      </c>
      <c r="V14" s="10">
        <v>2.11</v>
      </c>
      <c r="W14" s="10">
        <v>2.1800000000000002</v>
      </c>
      <c r="X14" s="10">
        <v>2.31</v>
      </c>
      <c r="Y14" s="10">
        <v>2.09</v>
      </c>
      <c r="Z14" s="10">
        <v>2.0299999999999998</v>
      </c>
      <c r="AA14" s="10">
        <v>1.68</v>
      </c>
      <c r="AB14" s="10">
        <v>1.54</v>
      </c>
      <c r="AC14" s="10">
        <v>1.45</v>
      </c>
      <c r="AD14" s="10">
        <v>1.39</v>
      </c>
      <c r="AE14" s="10">
        <v>1.27</v>
      </c>
      <c r="AF14" s="10">
        <v>1.52</v>
      </c>
      <c r="AG14" s="10">
        <v>1.73</v>
      </c>
      <c r="AH14" s="10">
        <v>1.86</v>
      </c>
      <c r="AI14" s="10">
        <v>1.91</v>
      </c>
      <c r="AJ14" s="10">
        <v>1.81</v>
      </c>
      <c r="AK14" s="10">
        <v>1.57</v>
      </c>
      <c r="AL14" s="10">
        <v>1.57</v>
      </c>
      <c r="AM14" s="10">
        <v>1.64</v>
      </c>
      <c r="AN14" s="10">
        <v>1.6</v>
      </c>
      <c r="AO14" s="10">
        <v>1.72</v>
      </c>
      <c r="AP14" s="10">
        <v>1.77</v>
      </c>
      <c r="AQ14" s="10">
        <v>1.85</v>
      </c>
      <c r="AR14" s="10">
        <v>2</v>
      </c>
      <c r="AS14" s="10">
        <v>2.04</v>
      </c>
      <c r="AT14" s="10">
        <v>1.96</v>
      </c>
      <c r="AU14" s="10">
        <v>1.71</v>
      </c>
      <c r="AV14" s="10">
        <v>1.55</v>
      </c>
      <c r="AW14" s="10">
        <v>1.72</v>
      </c>
      <c r="AX14" s="10">
        <v>1.66</v>
      </c>
      <c r="AY14" s="10">
        <v>1.57</v>
      </c>
      <c r="AZ14" s="10">
        <v>1.45</v>
      </c>
      <c r="BA14" s="10">
        <v>1.36</v>
      </c>
      <c r="BB14" s="10">
        <v>1.45</v>
      </c>
      <c r="BC14" s="10">
        <v>1.48</v>
      </c>
      <c r="BD14" s="10">
        <v>1.52</v>
      </c>
      <c r="BE14" s="10">
        <v>1.44</v>
      </c>
      <c r="BF14" s="10">
        <v>1.57</v>
      </c>
      <c r="BG14" s="10">
        <v>1.54</v>
      </c>
      <c r="BH14" s="10">
        <v>1.48</v>
      </c>
      <c r="BI14" s="10">
        <v>1.49</v>
      </c>
      <c r="BJ14" s="10">
        <v>1.43</v>
      </c>
      <c r="BK14" s="10">
        <v>1.44</v>
      </c>
      <c r="BL14" s="10">
        <v>1.45</v>
      </c>
      <c r="BM14" s="10">
        <v>1.42</v>
      </c>
      <c r="BN14" s="10">
        <v>1.36</v>
      </c>
      <c r="BO14" s="10">
        <v>1.35</v>
      </c>
      <c r="BP14" s="10">
        <v>1.44</v>
      </c>
      <c r="BQ14" s="17">
        <f t="shared" si="0"/>
        <v>0.14859651448531863</v>
      </c>
      <c r="BR14" s="14">
        <f t="shared" si="1"/>
        <v>1.8077272727272722</v>
      </c>
      <c r="BS14" s="14">
        <f t="shared" si="2"/>
        <v>0.45386814572769546</v>
      </c>
      <c r="BT14" s="2">
        <f t="shared" si="3"/>
        <v>0.25107113920063623</v>
      </c>
      <c r="BU14" s="2">
        <f t="shared" si="4"/>
        <v>0.94117647058823528</v>
      </c>
      <c r="BV14" s="2">
        <f t="shared" si="5"/>
        <v>-1.2051713658030372E-2</v>
      </c>
      <c r="BW14" s="18">
        <f t="shared" si="6"/>
        <v>-4.8001190803533947E-2</v>
      </c>
    </row>
    <row r="15" spans="1:75" s="9" customFormat="1" ht="15" thickBot="1" x14ac:dyDescent="0.4">
      <c r="A15" s="9" t="s">
        <v>97</v>
      </c>
      <c r="B15" s="12" t="s">
        <v>98</v>
      </c>
      <c r="C15" s="12">
        <v>2.57</v>
      </c>
      <c r="D15" s="12">
        <v>2.2000000000000002</v>
      </c>
      <c r="E15" s="12">
        <v>2.25</v>
      </c>
      <c r="F15" s="12">
        <v>2.34</v>
      </c>
      <c r="G15" s="12">
        <v>2.2999999999999998</v>
      </c>
      <c r="H15" s="12">
        <v>2.2799999999999998</v>
      </c>
      <c r="I15" s="12">
        <v>2.42</v>
      </c>
      <c r="J15" s="12">
        <v>2.89</v>
      </c>
      <c r="K15" s="12">
        <v>3.53</v>
      </c>
      <c r="L15" s="12">
        <v>3.48</v>
      </c>
      <c r="M15" s="12">
        <v>3.24</v>
      </c>
      <c r="N15" s="12">
        <v>3.28</v>
      </c>
      <c r="O15" s="12">
        <v>3.39</v>
      </c>
      <c r="P15" s="12">
        <v>3.39</v>
      </c>
      <c r="Q15" s="12">
        <v>3.39</v>
      </c>
      <c r="R15" s="12">
        <v>3.39</v>
      </c>
      <c r="S15" s="12">
        <v>3.39</v>
      </c>
      <c r="T15" s="12">
        <v>3.39</v>
      </c>
      <c r="U15" s="12">
        <v>3.39</v>
      </c>
      <c r="V15" s="12">
        <v>3.45</v>
      </c>
      <c r="W15" s="12">
        <v>4.17</v>
      </c>
      <c r="X15" s="12">
        <v>4.6500000000000004</v>
      </c>
      <c r="Y15" s="12">
        <v>5.76</v>
      </c>
      <c r="Z15" s="12">
        <v>5.89</v>
      </c>
      <c r="AA15" s="12">
        <v>5.65</v>
      </c>
      <c r="AB15" s="12">
        <v>4.62</v>
      </c>
      <c r="AC15" s="12">
        <v>3.74</v>
      </c>
      <c r="AD15" s="12">
        <v>3.84</v>
      </c>
      <c r="AE15" s="12">
        <v>4.04</v>
      </c>
      <c r="AF15" s="12">
        <v>3.92</v>
      </c>
      <c r="AG15" s="12">
        <v>4.3499999999999996</v>
      </c>
      <c r="AH15" s="12">
        <v>5.03</v>
      </c>
      <c r="AI15" s="12">
        <v>5.18</v>
      </c>
      <c r="AJ15" s="12">
        <v>5.08</v>
      </c>
      <c r="AK15" s="12">
        <v>5.29</v>
      </c>
      <c r="AL15" s="12">
        <v>5.9</v>
      </c>
      <c r="AM15" s="12">
        <v>6.13</v>
      </c>
      <c r="AN15" s="12">
        <v>6.1</v>
      </c>
      <c r="AO15" s="12">
        <v>6.21</v>
      </c>
      <c r="AP15" s="12">
        <v>6.37</v>
      </c>
      <c r="AQ15" s="12">
        <v>6.35</v>
      </c>
      <c r="AR15" s="12">
        <v>6.32</v>
      </c>
      <c r="AS15" s="12">
        <v>6.37</v>
      </c>
      <c r="AT15" s="12">
        <v>6.37</v>
      </c>
      <c r="AU15" s="12">
        <v>6.37</v>
      </c>
      <c r="AV15" s="12">
        <v>6.37</v>
      </c>
      <c r="AW15" s="12">
        <v>6.37</v>
      </c>
      <c r="AX15" s="12">
        <v>6.37</v>
      </c>
      <c r="AY15" s="12">
        <v>6.37</v>
      </c>
      <c r="AZ15" s="12">
        <v>6.37</v>
      </c>
      <c r="BA15" s="12">
        <v>6.37</v>
      </c>
      <c r="BB15" s="12">
        <v>6.37</v>
      </c>
      <c r="BC15" s="12">
        <v>6.37</v>
      </c>
      <c r="BD15" s="12">
        <v>6.37</v>
      </c>
      <c r="BE15" s="12">
        <v>6.37</v>
      </c>
      <c r="BF15" s="12">
        <v>6.37</v>
      </c>
      <c r="BG15" s="12">
        <v>6.37</v>
      </c>
      <c r="BH15" s="12">
        <v>6.37</v>
      </c>
      <c r="BI15" s="12">
        <v>6.37</v>
      </c>
      <c r="BJ15" s="12">
        <v>6.37</v>
      </c>
      <c r="BK15" s="12">
        <v>6.37</v>
      </c>
      <c r="BL15" s="12">
        <v>6.37</v>
      </c>
      <c r="BM15" s="12">
        <v>6.37</v>
      </c>
      <c r="BN15" s="12">
        <v>6.37</v>
      </c>
      <c r="BO15" s="12">
        <v>6.37</v>
      </c>
      <c r="BP15" s="12">
        <v>6.37</v>
      </c>
      <c r="BQ15" s="17">
        <f t="shared" si="0"/>
        <v>-0.1073194434108361</v>
      </c>
      <c r="BR15" s="14">
        <f t="shared" si="1"/>
        <v>4.9610606060606077</v>
      </c>
      <c r="BS15" s="14">
        <f t="shared" si="2"/>
        <v>1.5126046092626761</v>
      </c>
      <c r="BT15" s="2">
        <f t="shared" si="3"/>
        <v>0.30489541035133189</v>
      </c>
      <c r="BU15" s="2">
        <f t="shared" si="4"/>
        <v>2.4785992217898833</v>
      </c>
      <c r="BV15" s="2">
        <f t="shared" si="5"/>
        <v>0.19906095641936461</v>
      </c>
      <c r="BW15" s="18">
        <f t="shared" si="6"/>
        <v>0.65288275802507512</v>
      </c>
    </row>
    <row r="16" spans="1:75" s="11" customFormat="1" ht="15" thickBot="1" x14ac:dyDescent="0.4">
      <c r="A16" s="11" t="s">
        <v>99</v>
      </c>
      <c r="B16" s="12" t="s">
        <v>100</v>
      </c>
      <c r="C16" s="12">
        <v>18.34</v>
      </c>
      <c r="D16" s="12">
        <v>25.08</v>
      </c>
      <c r="E16" s="12">
        <v>27.05</v>
      </c>
      <c r="F16" s="12">
        <v>24.02</v>
      </c>
      <c r="G16" s="12">
        <v>24.36</v>
      </c>
      <c r="H16" s="12">
        <v>24</v>
      </c>
      <c r="I16" s="12">
        <v>26.03</v>
      </c>
      <c r="J16" s="12">
        <v>26.72</v>
      </c>
      <c r="K16" s="12">
        <v>26.37</v>
      </c>
      <c r="L16" s="12">
        <v>25.14</v>
      </c>
      <c r="M16" s="12">
        <v>26.78</v>
      </c>
      <c r="N16" s="12">
        <v>27.62</v>
      </c>
      <c r="O16" s="12">
        <v>26.08</v>
      </c>
      <c r="P16" s="12">
        <v>24.59</v>
      </c>
      <c r="Q16" s="12">
        <v>23.83</v>
      </c>
      <c r="R16" s="12">
        <v>22.68</v>
      </c>
      <c r="S16" s="12">
        <v>24.35</v>
      </c>
      <c r="T16" s="12">
        <v>22.77</v>
      </c>
      <c r="U16" s="12">
        <v>22.81</v>
      </c>
      <c r="V16" s="12">
        <v>23.27</v>
      </c>
      <c r="W16" s="12">
        <v>25.05</v>
      </c>
      <c r="X16" s="12">
        <v>24.99</v>
      </c>
      <c r="Y16" s="12">
        <v>22.66</v>
      </c>
      <c r="Z16" s="12">
        <v>21.83</v>
      </c>
      <c r="AA16" s="12">
        <v>20.010000000000002</v>
      </c>
      <c r="AB16" s="12">
        <v>19.73</v>
      </c>
      <c r="AC16" s="12">
        <v>18.79</v>
      </c>
      <c r="AD16" s="12">
        <v>19.3</v>
      </c>
      <c r="AE16" s="12">
        <v>20.190000000000001</v>
      </c>
      <c r="AF16" s="12">
        <v>22.31</v>
      </c>
      <c r="AG16" s="12">
        <v>23.84</v>
      </c>
      <c r="AH16" s="12">
        <v>22.84</v>
      </c>
      <c r="AI16" s="12">
        <v>21.16</v>
      </c>
      <c r="AJ16" s="12">
        <v>24.04</v>
      </c>
      <c r="AK16" s="12">
        <v>24.75</v>
      </c>
      <c r="AL16" s="12">
        <v>23.61</v>
      </c>
      <c r="AM16" s="12">
        <v>23.31</v>
      </c>
      <c r="AN16" s="12">
        <v>23.69</v>
      </c>
      <c r="AO16" s="12">
        <v>23.55</v>
      </c>
      <c r="AP16" s="12">
        <v>22.37</v>
      </c>
      <c r="AQ16" s="12">
        <v>22.91</v>
      </c>
      <c r="AR16" s="12">
        <v>24.03</v>
      </c>
      <c r="AS16" s="12">
        <v>23.37</v>
      </c>
      <c r="AT16" s="12">
        <v>22.7</v>
      </c>
      <c r="AU16" s="12">
        <v>23.68</v>
      </c>
      <c r="AV16" s="12">
        <v>26.76</v>
      </c>
      <c r="AW16" s="12">
        <v>27.66</v>
      </c>
      <c r="AX16" s="12">
        <v>30.34</v>
      </c>
      <c r="AY16" s="12">
        <v>30.15</v>
      </c>
      <c r="AZ16" s="12">
        <v>28.1</v>
      </c>
      <c r="BA16" s="12">
        <v>29.39</v>
      </c>
      <c r="BB16" s="12">
        <v>31.44</v>
      </c>
      <c r="BC16" s="12">
        <v>32.43</v>
      </c>
      <c r="BD16" s="12">
        <v>30.87</v>
      </c>
      <c r="BE16" s="12">
        <v>29.85</v>
      </c>
      <c r="BF16" s="12">
        <v>32.409999999999997</v>
      </c>
      <c r="BG16" s="12">
        <v>32.21</v>
      </c>
      <c r="BH16" s="12">
        <v>33.14</v>
      </c>
      <c r="BI16" s="12">
        <v>32.86</v>
      </c>
      <c r="BJ16" s="12">
        <v>31.94</v>
      </c>
      <c r="BK16" s="12">
        <v>32.78</v>
      </c>
      <c r="BL16" s="12">
        <v>32.64</v>
      </c>
      <c r="BM16" s="12">
        <v>33.78</v>
      </c>
      <c r="BN16" s="12">
        <v>36.299999999999997</v>
      </c>
      <c r="BO16" s="12">
        <v>36.340000000000003</v>
      </c>
      <c r="BP16" s="12">
        <v>37.96</v>
      </c>
      <c r="BQ16" s="17">
        <f t="shared" si="0"/>
        <v>-0.48971017144739137</v>
      </c>
      <c r="BR16" s="14">
        <f t="shared" si="1"/>
        <v>26.150757575757577</v>
      </c>
      <c r="BS16" s="14">
        <f t="shared" si="2"/>
        <v>4.5988668539463609</v>
      </c>
      <c r="BT16" s="2">
        <f t="shared" si="3"/>
        <v>0.17585979452502087</v>
      </c>
      <c r="BU16" s="2">
        <f t="shared" si="4"/>
        <v>2.0697928026172301</v>
      </c>
      <c r="BV16" s="2">
        <f t="shared" si="5"/>
        <v>0.15660582308009308</v>
      </c>
      <c r="BW16" s="18">
        <f t="shared" si="6"/>
        <v>0.89051521698333158</v>
      </c>
    </row>
    <row r="17" spans="1:75" ht="15" thickBot="1" x14ac:dyDescent="0.4">
      <c r="A17" s="11" t="s">
        <v>101</v>
      </c>
      <c r="B17" s="13" t="s">
        <v>102</v>
      </c>
      <c r="C17" s="13">
        <v>1784.74</v>
      </c>
      <c r="D17" s="13">
        <v>1951.85</v>
      </c>
      <c r="E17" s="13">
        <v>1941.15</v>
      </c>
      <c r="F17" s="13">
        <v>1895.14</v>
      </c>
      <c r="G17" s="13">
        <v>1891.82</v>
      </c>
      <c r="H17" s="13">
        <v>1835.43</v>
      </c>
      <c r="I17" s="13">
        <v>1876.42</v>
      </c>
      <c r="J17" s="13">
        <v>1830.05</v>
      </c>
      <c r="K17" s="13">
        <v>1734.7</v>
      </c>
      <c r="L17" s="13">
        <v>1735.31</v>
      </c>
      <c r="M17" s="13">
        <v>1809.73</v>
      </c>
      <c r="N17" s="13">
        <v>1874.33</v>
      </c>
      <c r="O17" s="13">
        <v>1794.84</v>
      </c>
      <c r="P17" s="13">
        <v>1789.64</v>
      </c>
      <c r="Q17" s="13">
        <v>1795.32</v>
      </c>
      <c r="R17" s="13">
        <v>1762.57</v>
      </c>
      <c r="S17" s="13">
        <v>1817.52</v>
      </c>
      <c r="T17" s="13">
        <v>1786.24</v>
      </c>
      <c r="U17" s="13">
        <v>1807.53</v>
      </c>
      <c r="V17" s="13">
        <v>1831.08</v>
      </c>
      <c r="W17" s="13">
        <v>1940.31</v>
      </c>
      <c r="X17" s="13">
        <v>1942.41</v>
      </c>
      <c r="Y17" s="13">
        <v>1873.14</v>
      </c>
      <c r="Z17" s="13">
        <v>1842.57</v>
      </c>
      <c r="AA17" s="13">
        <v>1778.12</v>
      </c>
      <c r="AB17" s="13">
        <v>1759.97</v>
      </c>
      <c r="AC17" s="13">
        <v>1716.37</v>
      </c>
      <c r="AD17" s="13">
        <v>1666.39</v>
      </c>
      <c r="AE17" s="13">
        <v>1690.86</v>
      </c>
      <c r="AF17" s="13">
        <v>1775.03</v>
      </c>
      <c r="AG17" s="13">
        <v>1862.54</v>
      </c>
      <c r="AH17" s="13">
        <v>1889.85</v>
      </c>
      <c r="AI17" s="13">
        <v>1856.45</v>
      </c>
      <c r="AJ17" s="13">
        <v>1988.21</v>
      </c>
      <c r="AK17" s="13">
        <v>1999.99</v>
      </c>
      <c r="AL17" s="13">
        <v>1959.85</v>
      </c>
      <c r="AM17" s="13">
        <v>1931.95</v>
      </c>
      <c r="AN17" s="13">
        <v>1935.49</v>
      </c>
      <c r="AO17" s="13">
        <v>1921.85</v>
      </c>
      <c r="AP17" s="13">
        <v>1885.22</v>
      </c>
      <c r="AQ17" s="13">
        <v>1973.74</v>
      </c>
      <c r="AR17" s="13">
        <v>2015.23</v>
      </c>
      <c r="AS17" s="13">
        <v>2043.09</v>
      </c>
      <c r="AT17" s="13">
        <v>2022.29</v>
      </c>
      <c r="AU17" s="13">
        <v>2102.25</v>
      </c>
      <c r="AV17" s="13">
        <v>2286.7800000000002</v>
      </c>
      <c r="AW17" s="13">
        <v>2333.4</v>
      </c>
      <c r="AX17" s="13">
        <v>2344.4699999999998</v>
      </c>
      <c r="AY17" s="13">
        <v>2373.25</v>
      </c>
      <c r="AZ17" s="13">
        <v>2425.4899999999998</v>
      </c>
      <c r="BA17" s="13">
        <v>2522.1799999999998</v>
      </c>
      <c r="BB17" s="13">
        <v>2650.71</v>
      </c>
      <c r="BC17" s="13">
        <v>2689.46</v>
      </c>
      <c r="BD17" s="13">
        <v>2651.36</v>
      </c>
      <c r="BE17" s="13">
        <v>2651.38</v>
      </c>
      <c r="BF17" s="13">
        <v>2907.23</v>
      </c>
      <c r="BG17" s="13">
        <v>2910.6</v>
      </c>
      <c r="BH17" s="13">
        <v>2973.68</v>
      </c>
      <c r="BI17" s="13">
        <v>3056.28</v>
      </c>
      <c r="BJ17" s="13">
        <v>3216.94</v>
      </c>
      <c r="BK17" s="13">
        <v>3316.69</v>
      </c>
      <c r="BL17" s="13">
        <v>3279.13</v>
      </c>
      <c r="BM17" s="13">
        <v>3313.97</v>
      </c>
      <c r="BN17" s="13">
        <v>3362.93</v>
      </c>
      <c r="BO17" s="13">
        <v>3326.36</v>
      </c>
      <c r="BP17" s="13">
        <v>3347.17</v>
      </c>
      <c r="BQ17" s="17">
        <f t="shared" si="0"/>
        <v>-0.46937138868756451</v>
      </c>
      <c r="BR17" s="14">
        <f t="shared" si="1"/>
        <v>2179.667272727273</v>
      </c>
      <c r="BS17" s="14">
        <f t="shared" si="2"/>
        <v>518.90921010414684</v>
      </c>
      <c r="BT17" s="2">
        <f t="shared" si="3"/>
        <v>0.23806808341663549</v>
      </c>
      <c r="BU17" s="2">
        <f t="shared" si="4"/>
        <v>1.8754384392124344</v>
      </c>
      <c r="BV17" s="2">
        <f t="shared" si="5"/>
        <v>0.13401960471751706</v>
      </c>
      <c r="BW17" s="18">
        <f t="shared" si="6"/>
        <v>0.56294654366991959</v>
      </c>
    </row>
    <row r="18" spans="1:75" x14ac:dyDescent="0.35">
      <c r="BQ18" t="s">
        <v>103</v>
      </c>
      <c r="BT18" s="2"/>
      <c r="BV18" s="2"/>
    </row>
    <row r="19" spans="1:75" x14ac:dyDescent="0.35">
      <c r="BQ19" t="s">
        <v>104</v>
      </c>
      <c r="BT19" s="2"/>
      <c r="BV19" s="2"/>
    </row>
    <row r="20" spans="1:75" x14ac:dyDescent="0.35">
      <c r="B20" s="15" t="s">
        <v>105</v>
      </c>
      <c r="C20" t="s">
        <v>106</v>
      </c>
      <c r="BQ20" t="s">
        <v>107</v>
      </c>
      <c r="BT20" s="2"/>
      <c r="BV20" s="2"/>
    </row>
    <row r="21" spans="1:75" x14ac:dyDescent="0.35">
      <c r="B21" s="16"/>
      <c r="C21" t="s">
        <v>108</v>
      </c>
      <c r="BT21" s="2"/>
      <c r="BV21" s="2"/>
    </row>
  </sheetData>
  <autoFilter ref="B4:BP17" xr:uid="{00000000-0001-0000-0100-000000000000}"/>
  <conditionalFormatting sqref="BW5:BW17">
    <cfRule type="cellIs" dxfId="0" priority="1" operator="lessThan">
      <formula>$BW$6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8266-4C4B-4BDD-8D57-A1484A8E6B23}">
  <sheetPr>
    <pageSetUpPr fitToPage="1"/>
  </sheetPr>
  <dimension ref="A1:DH40"/>
  <sheetViews>
    <sheetView zoomScale="40" zoomScaleNormal="40" workbookViewId="0">
      <pane xSplit="1" topLeftCell="B1" activePane="topRight" state="frozen"/>
      <selection activeCell="A2" sqref="A2"/>
      <selection pane="topRight" activeCell="W8" sqref="W8"/>
    </sheetView>
  </sheetViews>
  <sheetFormatPr defaultRowHeight="14.5" x14ac:dyDescent="0.35"/>
  <cols>
    <col min="2" max="2" width="49.7265625" customWidth="1"/>
    <col min="3" max="19" width="9.81640625" bestFit="1" customWidth="1"/>
    <col min="20" max="20" width="8.81640625" bestFit="1" customWidth="1"/>
    <col min="21" max="21" width="9.81640625" bestFit="1" customWidth="1"/>
    <col min="22" max="22" width="8.81640625" bestFit="1" customWidth="1"/>
    <col min="23" max="33" width="9.81640625" bestFit="1" customWidth="1"/>
    <col min="34" max="34" width="8.81640625" bestFit="1" customWidth="1"/>
    <col min="35" max="35" width="9.81640625" bestFit="1" customWidth="1"/>
    <col min="36" max="36" width="8.81640625" bestFit="1" customWidth="1"/>
    <col min="37" max="65" width="9.81640625" bestFit="1" customWidth="1"/>
    <col min="66" max="66" width="8.81640625" bestFit="1" customWidth="1"/>
    <col min="67" max="69" width="9.81640625" bestFit="1" customWidth="1"/>
    <col min="70" max="70" width="8.81640625" bestFit="1" customWidth="1"/>
    <col min="71" max="84" width="9.81640625" bestFit="1" customWidth="1"/>
    <col min="85" max="85" width="8.81640625" bestFit="1" customWidth="1"/>
    <col min="86" max="88" width="9.81640625" bestFit="1" customWidth="1"/>
    <col min="89" max="89" width="8.81640625" bestFit="1" customWidth="1"/>
    <col min="90" max="90" width="9.81640625" bestFit="1" customWidth="1"/>
    <col min="91" max="91" width="14.26953125" customWidth="1"/>
    <col min="92" max="92" width="13.1796875" customWidth="1"/>
    <col min="93" max="93" width="13.453125" customWidth="1"/>
    <col min="94" max="94" width="12.7265625" customWidth="1"/>
    <col min="95" max="95" width="13.54296875" customWidth="1"/>
    <col min="96" max="96" width="13.7265625" customWidth="1"/>
    <col min="97" max="98" width="12.54296875" customWidth="1"/>
    <col min="99" max="99" width="13.54296875" customWidth="1"/>
    <col min="100" max="100" width="12.1796875" customWidth="1"/>
    <col min="101" max="101" width="12.54296875" customWidth="1"/>
    <col min="102" max="102" width="14" customWidth="1"/>
    <col min="103" max="103" width="10" bestFit="1" customWidth="1"/>
    <col min="104" max="105" width="13.453125" bestFit="1" customWidth="1"/>
    <col min="106" max="106" width="18" customWidth="1"/>
    <col min="107" max="107" width="10.453125" bestFit="1" customWidth="1"/>
    <col min="108" max="108" width="19.7265625" customWidth="1"/>
    <col min="109" max="109" width="22.453125" customWidth="1"/>
  </cols>
  <sheetData>
    <row r="1" spans="1:112" ht="15" thickBot="1" x14ac:dyDescent="0.4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</row>
    <row r="2" spans="1:112" ht="203.5" thickBot="1" x14ac:dyDescent="0.4">
      <c r="A2" s="26"/>
      <c r="B2" s="20" t="s">
        <v>0</v>
      </c>
      <c r="C2" s="21">
        <v>43040</v>
      </c>
      <c r="D2" s="20" t="s">
        <v>109</v>
      </c>
      <c r="E2" s="20" t="s">
        <v>110</v>
      </c>
      <c r="F2" s="20" t="s">
        <v>111</v>
      </c>
      <c r="G2" s="20" t="s">
        <v>112</v>
      </c>
      <c r="H2" s="21">
        <v>43191</v>
      </c>
      <c r="I2" s="20" t="s">
        <v>113</v>
      </c>
      <c r="J2" s="20" t="s">
        <v>114</v>
      </c>
      <c r="K2" s="20" t="s">
        <v>115</v>
      </c>
      <c r="L2" s="20" t="s">
        <v>116</v>
      </c>
      <c r="M2" s="21">
        <v>43344</v>
      </c>
      <c r="N2" s="20" t="s">
        <v>117</v>
      </c>
      <c r="O2" s="21">
        <v>43405</v>
      </c>
      <c r="P2" s="20" t="s">
        <v>118</v>
      </c>
      <c r="Q2" s="20" t="s">
        <v>119</v>
      </c>
      <c r="R2" s="20" t="s">
        <v>120</v>
      </c>
      <c r="S2" s="20" t="s">
        <v>121</v>
      </c>
      <c r="T2" s="21">
        <v>43556</v>
      </c>
      <c r="U2" s="20" t="s">
        <v>122</v>
      </c>
      <c r="V2" s="20" t="s">
        <v>123</v>
      </c>
      <c r="W2" s="20" t="s">
        <v>124</v>
      </c>
      <c r="X2" s="20" t="s">
        <v>125</v>
      </c>
      <c r="Y2" s="21">
        <v>43709</v>
      </c>
      <c r="Z2" s="20" t="s">
        <v>126</v>
      </c>
      <c r="AA2" s="21">
        <v>43770</v>
      </c>
      <c r="AB2" s="20" t="s">
        <v>127</v>
      </c>
      <c r="AC2" s="20" t="s">
        <v>128</v>
      </c>
      <c r="AD2" s="20" t="s">
        <v>129</v>
      </c>
      <c r="AE2" s="20" t="s">
        <v>130</v>
      </c>
      <c r="AF2" s="21">
        <v>43922</v>
      </c>
      <c r="AG2" s="20" t="s">
        <v>131</v>
      </c>
      <c r="AH2" s="20" t="s">
        <v>132</v>
      </c>
      <c r="AI2" s="20" t="s">
        <v>133</v>
      </c>
      <c r="AJ2" s="20" t="s">
        <v>19</v>
      </c>
      <c r="AK2" s="21">
        <v>44075</v>
      </c>
      <c r="AL2" s="20" t="s">
        <v>20</v>
      </c>
      <c r="AM2" s="21">
        <v>44136</v>
      </c>
      <c r="AN2" s="20" t="s">
        <v>21</v>
      </c>
      <c r="AO2" s="20" t="s">
        <v>22</v>
      </c>
      <c r="AP2" s="20" t="s">
        <v>23</v>
      </c>
      <c r="AQ2" s="20" t="s">
        <v>24</v>
      </c>
      <c r="AR2" s="21">
        <v>44287</v>
      </c>
      <c r="AS2" s="20" t="s">
        <v>25</v>
      </c>
      <c r="AT2" s="20" t="s">
        <v>26</v>
      </c>
      <c r="AU2" s="20" t="s">
        <v>27</v>
      </c>
      <c r="AV2" s="20" t="s">
        <v>28</v>
      </c>
      <c r="AW2" s="21">
        <v>44440</v>
      </c>
      <c r="AX2" s="20" t="s">
        <v>29</v>
      </c>
      <c r="AY2" s="21">
        <v>44501</v>
      </c>
      <c r="AZ2" s="20" t="s">
        <v>30</v>
      </c>
      <c r="BA2" s="20" t="s">
        <v>31</v>
      </c>
      <c r="BB2" s="20" t="s">
        <v>32</v>
      </c>
      <c r="BC2" s="20" t="s">
        <v>33</v>
      </c>
      <c r="BD2" s="21">
        <v>44652</v>
      </c>
      <c r="BE2" s="20" t="s">
        <v>34</v>
      </c>
      <c r="BF2" s="20" t="s">
        <v>35</v>
      </c>
      <c r="BG2" s="20" t="s">
        <v>36</v>
      </c>
      <c r="BH2" s="20" t="s">
        <v>37</v>
      </c>
      <c r="BI2" s="21">
        <v>44805</v>
      </c>
      <c r="BJ2" s="20" t="s">
        <v>38</v>
      </c>
      <c r="BK2" s="21">
        <v>44866</v>
      </c>
      <c r="BL2" s="20" t="s">
        <v>39</v>
      </c>
      <c r="BM2" s="20" t="s">
        <v>40</v>
      </c>
      <c r="BN2" s="20" t="s">
        <v>41</v>
      </c>
      <c r="BO2" s="20" t="s">
        <v>42</v>
      </c>
      <c r="BP2" s="21">
        <v>45017</v>
      </c>
      <c r="BQ2" s="20" t="s">
        <v>43</v>
      </c>
      <c r="BR2" s="20" t="s">
        <v>44</v>
      </c>
      <c r="BS2" s="20" t="s">
        <v>45</v>
      </c>
      <c r="BT2" s="20" t="s">
        <v>46</v>
      </c>
      <c r="BU2" s="21">
        <v>45170</v>
      </c>
      <c r="BV2" s="20" t="s">
        <v>47</v>
      </c>
      <c r="BW2" s="21">
        <v>45231</v>
      </c>
      <c r="BX2" s="20" t="s">
        <v>48</v>
      </c>
      <c r="BY2" s="20" t="s">
        <v>49</v>
      </c>
      <c r="BZ2" s="20" t="s">
        <v>50</v>
      </c>
      <c r="CA2" s="20" t="s">
        <v>51</v>
      </c>
      <c r="CB2" s="21">
        <v>45383</v>
      </c>
      <c r="CC2" s="20" t="s">
        <v>52</v>
      </c>
      <c r="CD2" s="20" t="s">
        <v>53</v>
      </c>
      <c r="CE2" s="20" t="s">
        <v>54</v>
      </c>
      <c r="CF2" s="20" t="s">
        <v>55</v>
      </c>
      <c r="CG2" s="21">
        <v>45536</v>
      </c>
      <c r="CH2" s="20" t="s">
        <v>56</v>
      </c>
      <c r="CI2" s="21">
        <v>45597</v>
      </c>
      <c r="CJ2" s="20" t="s">
        <v>57</v>
      </c>
      <c r="CK2" s="20" t="s">
        <v>58</v>
      </c>
      <c r="CL2" s="20" t="s">
        <v>59</v>
      </c>
      <c r="CM2" s="20" t="s">
        <v>60</v>
      </c>
      <c r="CN2" s="20" t="s">
        <v>61</v>
      </c>
      <c r="CO2" s="20" t="s">
        <v>62</v>
      </c>
      <c r="CP2" s="20" t="s">
        <v>63</v>
      </c>
      <c r="CQ2" s="20" t="s">
        <v>64</v>
      </c>
      <c r="CR2" s="20" t="s">
        <v>65</v>
      </c>
      <c r="CS2" s="20" t="s">
        <v>66</v>
      </c>
      <c r="CT2" s="20" t="s">
        <v>67</v>
      </c>
      <c r="CU2" s="20" t="s">
        <v>68</v>
      </c>
      <c r="CV2" s="20" t="s">
        <v>69</v>
      </c>
      <c r="CW2" s="20" t="s">
        <v>70</v>
      </c>
      <c r="CX2" s="20" t="s">
        <v>134</v>
      </c>
      <c r="CY2" s="26" t="s">
        <v>71</v>
      </c>
      <c r="CZ2" s="26" t="s">
        <v>72</v>
      </c>
      <c r="DA2" s="26" t="s">
        <v>73</v>
      </c>
      <c r="DB2" s="26" t="s">
        <v>74</v>
      </c>
      <c r="DC2" s="26" t="s">
        <v>75</v>
      </c>
      <c r="DD2" s="26" t="s">
        <v>76</v>
      </c>
      <c r="DE2" s="26" t="s">
        <v>77</v>
      </c>
      <c r="DF2" s="19" t="s">
        <v>158</v>
      </c>
      <c r="DG2" s="19" t="s">
        <v>159</v>
      </c>
      <c r="DH2" s="26" t="s">
        <v>157</v>
      </c>
    </row>
    <row r="3" spans="1:112" ht="24.75" customHeight="1" thickBot="1" x14ac:dyDescent="0.4">
      <c r="A3" s="26" t="s">
        <v>148</v>
      </c>
      <c r="B3" s="22" t="s">
        <v>135</v>
      </c>
      <c r="C3" s="22">
        <v>94.8</v>
      </c>
      <c r="D3" s="22">
        <v>94.04</v>
      </c>
      <c r="E3" s="22">
        <v>95.54</v>
      </c>
      <c r="F3" s="22">
        <v>100.69</v>
      </c>
      <c r="G3" s="22">
        <v>101.86</v>
      </c>
      <c r="H3" s="22">
        <v>94.75</v>
      </c>
      <c r="I3" s="22">
        <v>89.53</v>
      </c>
      <c r="J3" s="22">
        <v>96.61</v>
      </c>
      <c r="K3" s="22">
        <v>104.65</v>
      </c>
      <c r="L3" s="22">
        <v>107.83</v>
      </c>
      <c r="M3" s="22">
        <v>104.81</v>
      </c>
      <c r="N3" s="22">
        <v>100.89</v>
      </c>
      <c r="O3" s="22">
        <v>97.9</v>
      </c>
      <c r="P3" s="22">
        <v>92.51</v>
      </c>
      <c r="Q3" s="22">
        <v>92.41</v>
      </c>
      <c r="R3" s="22">
        <v>91.8</v>
      </c>
      <c r="S3" s="22">
        <v>90.57</v>
      </c>
      <c r="T3" s="22">
        <v>88.85</v>
      </c>
      <c r="U3" s="22">
        <v>81.86</v>
      </c>
      <c r="V3" s="22">
        <v>81.48</v>
      </c>
      <c r="W3" s="22">
        <v>71.92</v>
      </c>
      <c r="X3" s="22">
        <v>72.67</v>
      </c>
      <c r="Y3" s="22">
        <v>65.790000000000006</v>
      </c>
      <c r="Z3" s="22">
        <v>64.8</v>
      </c>
      <c r="AA3" s="22">
        <v>66.27</v>
      </c>
      <c r="AB3" s="22">
        <v>66.3</v>
      </c>
      <c r="AC3" s="22">
        <v>65.930000000000007</v>
      </c>
      <c r="AD3" s="22">
        <v>66.89</v>
      </c>
      <c r="AE3" s="22">
        <v>67.08</v>
      </c>
      <c r="AF3" s="22">
        <v>65.77</v>
      </c>
      <c r="AG3" s="22">
        <v>61.11</v>
      </c>
      <c r="AH3" s="22">
        <v>52.98</v>
      </c>
      <c r="AI3" s="22">
        <v>52.16</v>
      </c>
      <c r="AJ3" s="22">
        <v>50.34</v>
      </c>
      <c r="AK3" s="22">
        <v>49.42</v>
      </c>
      <c r="AL3" s="22">
        <v>51</v>
      </c>
      <c r="AM3" s="22">
        <v>55.71</v>
      </c>
      <c r="AN3" s="22">
        <v>59.65</v>
      </c>
      <c r="AO3" s="22">
        <v>75.84</v>
      </c>
      <c r="AP3" s="22">
        <v>87.79</v>
      </c>
      <c r="AQ3" s="22">
        <v>84.47</v>
      </c>
      <c r="AR3" s="22">
        <v>86.68</v>
      </c>
      <c r="AS3" s="22">
        <v>89.74</v>
      </c>
      <c r="AT3" s="22">
        <v>100.33</v>
      </c>
      <c r="AU3" s="22">
        <v>115.35</v>
      </c>
      <c r="AV3" s="22">
        <v>130.99</v>
      </c>
      <c r="AW3" s="22">
        <v>150.03</v>
      </c>
      <c r="AX3" s="22">
        <v>161.63</v>
      </c>
      <c r="AY3" s="22">
        <v>215.01</v>
      </c>
      <c r="AZ3" s="22">
        <v>159.79</v>
      </c>
      <c r="BA3" s="22">
        <v>158.5</v>
      </c>
      <c r="BB3" s="22">
        <v>188.38</v>
      </c>
      <c r="BC3" s="22">
        <v>203.69</v>
      </c>
      <c r="BD3" s="22">
        <v>288.39999999999998</v>
      </c>
      <c r="BE3" s="22">
        <v>275.64</v>
      </c>
      <c r="BF3" s="22">
        <v>323.91000000000003</v>
      </c>
      <c r="BG3" s="22">
        <v>319</v>
      </c>
      <c r="BH3" s="22">
        <v>321.58999999999997</v>
      </c>
      <c r="BI3" s="22">
        <v>319.22000000000003</v>
      </c>
      <c r="BJ3" s="22">
        <v>330.97</v>
      </c>
      <c r="BK3" s="22">
        <v>308.2</v>
      </c>
      <c r="BL3" s="22">
        <v>281.48</v>
      </c>
      <c r="BM3" s="22">
        <v>305.20999999999998</v>
      </c>
      <c r="BN3" s="22">
        <v>277.05</v>
      </c>
      <c r="BO3" s="22">
        <v>283.08</v>
      </c>
      <c r="BP3" s="22">
        <v>265.26</v>
      </c>
      <c r="BQ3" s="22">
        <v>206.16</v>
      </c>
      <c r="BR3" s="22">
        <v>191.26</v>
      </c>
      <c r="BS3" s="22">
        <v>191.6</v>
      </c>
      <c r="BT3" s="22">
        <v>179.9</v>
      </c>
      <c r="BU3" s="22">
        <v>133.13</v>
      </c>
      <c r="BV3" s="22">
        <v>123.96</v>
      </c>
      <c r="BW3" s="22">
        <v>139.80000000000001</v>
      </c>
      <c r="BX3" s="22">
        <v>117.38</v>
      </c>
      <c r="BY3" s="22">
        <v>125.85</v>
      </c>
      <c r="BZ3" s="22">
        <v>124.95</v>
      </c>
      <c r="CA3" s="22">
        <v>109.77</v>
      </c>
      <c r="CB3" s="22">
        <v>121.13</v>
      </c>
      <c r="CC3" s="22">
        <v>114.06</v>
      </c>
      <c r="CD3" s="22">
        <v>123</v>
      </c>
      <c r="CE3" s="22">
        <v>130.44</v>
      </c>
      <c r="CF3" s="22">
        <v>115.29</v>
      </c>
      <c r="CG3" s="22">
        <v>125.15</v>
      </c>
      <c r="CH3" s="22">
        <v>131.16999999999999</v>
      </c>
      <c r="CI3" s="22">
        <v>114.43</v>
      </c>
      <c r="CJ3" s="22">
        <v>122.51</v>
      </c>
      <c r="CK3" s="22">
        <v>124.01</v>
      </c>
      <c r="CL3" s="22">
        <v>124.24</v>
      </c>
      <c r="CM3" s="22">
        <v>128.24</v>
      </c>
      <c r="CN3" s="22">
        <v>117.76</v>
      </c>
      <c r="CO3" s="22">
        <v>123.32</v>
      </c>
      <c r="CP3" s="22">
        <v>120.2</v>
      </c>
      <c r="CQ3" s="22">
        <v>121.15</v>
      </c>
      <c r="CR3" s="22">
        <v>110.38</v>
      </c>
      <c r="CS3" s="22">
        <v>100.97</v>
      </c>
      <c r="CT3" s="22">
        <v>98.61</v>
      </c>
      <c r="CU3" s="22">
        <v>107.35</v>
      </c>
      <c r="CV3" s="22">
        <v>97.65</v>
      </c>
      <c r="CW3" s="22">
        <v>102.22</v>
      </c>
      <c r="CX3" s="22">
        <v>100.69</v>
      </c>
      <c r="CY3" s="27">
        <f t="shared" ref="CY3:CY15" si="0">CORREL($C$4:$CX$4,C3:CX3)</f>
        <v>0.85321093324975461</v>
      </c>
      <c r="CZ3" s="27">
        <f t="shared" ref="CZ3:CZ15" si="1">AVERAGE(C3:CX3)</f>
        <v>132.34129999999996</v>
      </c>
      <c r="DA3" s="27">
        <f t="shared" ref="DA3:DA15" si="2">_xlfn.STDEV.S(C3:CX3)</f>
        <v>74.226869017570138</v>
      </c>
      <c r="DB3" s="28">
        <f t="shared" ref="DB3:DB15" si="3">DA3/CZ3</f>
        <v>0.56087456461112406</v>
      </c>
      <c r="DC3" s="28">
        <f t="shared" ref="DC3:DC15" si="4">CX3/C3</f>
        <v>1.0621308016877637</v>
      </c>
      <c r="DD3" s="28">
        <f t="shared" ref="DD3:DD15" si="5">(DC3^(1/8))-1</f>
        <v>7.563091871845673E-3</v>
      </c>
      <c r="DE3" s="28">
        <f t="shared" ref="DE3:DE15" si="6">DD3/DB3</f>
        <v>1.348446221142058E-2</v>
      </c>
      <c r="DF3" s="19">
        <f t="shared" ref="DF3:DF15" si="7">MIN(C3:CX3)</f>
        <v>49.42</v>
      </c>
      <c r="DG3" s="19">
        <f t="shared" ref="DG3:DG15" si="8">MAX(C3:CX3)</f>
        <v>330.97</v>
      </c>
    </row>
    <row r="4" spans="1:112" ht="26.25" customHeight="1" thickBot="1" x14ac:dyDescent="0.4">
      <c r="A4" s="26" t="s">
        <v>80</v>
      </c>
      <c r="B4" s="22" t="s">
        <v>139</v>
      </c>
      <c r="C4" s="22">
        <v>10905.91</v>
      </c>
      <c r="D4" s="22">
        <v>12091.67</v>
      </c>
      <c r="E4" s="22">
        <v>11304.55</v>
      </c>
      <c r="F4" s="22">
        <v>12452.75</v>
      </c>
      <c r="G4" s="22">
        <v>13444.52</v>
      </c>
      <c r="H4" s="22">
        <v>13619.25</v>
      </c>
      <c r="I4" s="22">
        <v>13584.76</v>
      </c>
      <c r="J4" s="22">
        <v>14102.75</v>
      </c>
      <c r="K4" s="22">
        <v>15067.86</v>
      </c>
      <c r="L4" s="22">
        <v>14246.82</v>
      </c>
      <c r="M4" s="22">
        <v>13509.05</v>
      </c>
      <c r="N4" s="22">
        <v>12803.41</v>
      </c>
      <c r="O4" s="22">
        <v>12578.64</v>
      </c>
      <c r="P4" s="22">
        <v>11695</v>
      </c>
      <c r="Q4" s="22">
        <v>10890.68</v>
      </c>
      <c r="R4" s="22">
        <v>11046.05</v>
      </c>
      <c r="S4" s="22">
        <v>12249.32</v>
      </c>
      <c r="T4" s="22">
        <v>13029.5</v>
      </c>
      <c r="U4" s="22">
        <v>13000.91</v>
      </c>
      <c r="V4" s="22">
        <v>12100</v>
      </c>
      <c r="W4" s="22">
        <v>11874.77</v>
      </c>
      <c r="X4" s="22">
        <v>12832.73</v>
      </c>
      <c r="Y4" s="22">
        <v>14940</v>
      </c>
      <c r="Z4" s="22">
        <v>17176.82</v>
      </c>
      <c r="AA4" s="22">
        <v>17456.43</v>
      </c>
      <c r="AB4" s="22">
        <v>16107.27</v>
      </c>
      <c r="AC4" s="22">
        <v>13875.68</v>
      </c>
      <c r="AD4" s="22">
        <v>14029.72</v>
      </c>
      <c r="AE4" s="22">
        <v>12994.57</v>
      </c>
      <c r="AF4" s="22">
        <v>12301.19</v>
      </c>
      <c r="AG4" s="22">
        <v>11347.68</v>
      </c>
      <c r="AH4" s="22">
        <v>12085.1</v>
      </c>
      <c r="AI4" s="22">
        <v>12595.68</v>
      </c>
      <c r="AJ4" s="22">
        <v>13004.6</v>
      </c>
      <c r="AK4" s="22">
        <v>13921.87</v>
      </c>
      <c r="AL4" s="22">
        <v>15059.57</v>
      </c>
      <c r="AM4" s="22">
        <v>14732.1</v>
      </c>
      <c r="AN4" s="22">
        <v>15646.7</v>
      </c>
      <c r="AO4" s="22">
        <v>16541.57</v>
      </c>
      <c r="AP4" s="22">
        <v>17434.05</v>
      </c>
      <c r="AQ4" s="22">
        <v>18210.39</v>
      </c>
      <c r="AR4" s="22">
        <v>17251.599999999999</v>
      </c>
      <c r="AS4" s="22">
        <v>16301.95</v>
      </c>
      <c r="AT4" s="22">
        <v>17322.48</v>
      </c>
      <c r="AU4" s="22">
        <v>17650.95</v>
      </c>
      <c r="AV4" s="22">
        <v>18356.86</v>
      </c>
      <c r="AW4" s="22">
        <v>19239.259999999998</v>
      </c>
      <c r="AX4" s="22">
        <v>19499.7</v>
      </c>
      <c r="AY4" s="22">
        <v>18951.82</v>
      </c>
      <c r="AZ4" s="22">
        <v>19829.349999999999</v>
      </c>
      <c r="BA4" s="22">
        <v>20189.75</v>
      </c>
      <c r="BB4" s="22">
        <v>21113.75</v>
      </c>
      <c r="BC4" s="22">
        <v>23537.05</v>
      </c>
      <c r="BD4" s="22">
        <v>35995.300000000003</v>
      </c>
      <c r="BE4" s="22">
        <v>33415.75</v>
      </c>
      <c r="BF4" s="22">
        <v>30048.81</v>
      </c>
      <c r="BG4" s="22">
        <v>27414.47</v>
      </c>
      <c r="BH4" s="22">
        <v>22504.77</v>
      </c>
      <c r="BI4" s="22">
        <v>22059.13</v>
      </c>
      <c r="BJ4" s="22">
        <v>22081.25</v>
      </c>
      <c r="BK4" s="22">
        <v>22374.77</v>
      </c>
      <c r="BL4" s="22">
        <v>23907.73</v>
      </c>
      <c r="BM4" s="22">
        <v>27482.62</v>
      </c>
      <c r="BN4" s="22">
        <v>28444.5</v>
      </c>
      <c r="BO4" s="22">
        <v>27860</v>
      </c>
      <c r="BP4" s="22">
        <v>24227</v>
      </c>
      <c r="BQ4" s="22">
        <v>23278.57</v>
      </c>
      <c r="BR4" s="22">
        <v>23317</v>
      </c>
      <c r="BS4" s="22">
        <v>21376.75</v>
      </c>
      <c r="BT4" s="22">
        <v>20663.86</v>
      </c>
      <c r="BU4" s="22">
        <v>20827.73</v>
      </c>
      <c r="BV4" s="22">
        <v>20190</v>
      </c>
      <c r="BW4" s="22">
        <v>18563.64</v>
      </c>
      <c r="BX4" s="22">
        <v>17653.330000000002</v>
      </c>
      <c r="BY4" s="22">
        <v>16368.86</v>
      </c>
      <c r="BZ4" s="22">
        <v>16151</v>
      </c>
      <c r="CA4" s="22">
        <v>16021.67</v>
      </c>
      <c r="CB4" s="22">
        <v>17424.52</v>
      </c>
      <c r="CC4" s="22">
        <v>17472.38</v>
      </c>
      <c r="CD4" s="22">
        <v>18962.11</v>
      </c>
      <c r="CE4" s="22">
        <v>18823.86</v>
      </c>
      <c r="CF4" s="22">
        <v>16812.73</v>
      </c>
      <c r="CG4" s="22">
        <v>15908.1</v>
      </c>
      <c r="CH4" s="22">
        <v>16175.23</v>
      </c>
      <c r="CI4" s="22">
        <v>17072.14</v>
      </c>
      <c r="CJ4" s="22">
        <v>15822.95</v>
      </c>
      <c r="CK4" s="22">
        <v>15660</v>
      </c>
      <c r="CL4" s="22">
        <v>15276.11</v>
      </c>
      <c r="CM4" s="22">
        <v>15276.33</v>
      </c>
      <c r="CN4" s="22">
        <v>15534.62</v>
      </c>
      <c r="CO4" s="22">
        <v>16126.33</v>
      </c>
      <c r="CP4" s="22">
        <v>15539.69</v>
      </c>
      <c r="CQ4" s="22">
        <v>15049.23</v>
      </c>
      <c r="CR4" s="22">
        <v>15415</v>
      </c>
      <c r="CS4" s="22">
        <v>15405</v>
      </c>
      <c r="CT4" s="22">
        <v>15221</v>
      </c>
      <c r="CU4" s="22">
        <v>14942.67</v>
      </c>
      <c r="CV4" s="22">
        <v>14926</v>
      </c>
      <c r="CW4" s="22">
        <v>15028.33</v>
      </c>
      <c r="CX4" s="22">
        <v>15012.67</v>
      </c>
      <c r="CY4" s="29">
        <f t="shared" si="0"/>
        <v>0.99999999999999989</v>
      </c>
      <c r="CZ4" s="27">
        <f t="shared" si="1"/>
        <v>17182.519200000002</v>
      </c>
      <c r="DA4" s="27">
        <f t="shared" si="2"/>
        <v>4905.3350112716489</v>
      </c>
      <c r="DB4" s="30">
        <f t="shared" si="3"/>
        <v>0.28548404073784756</v>
      </c>
      <c r="DC4" s="28">
        <f t="shared" si="4"/>
        <v>1.376562799436269</v>
      </c>
      <c r="DD4" s="28">
        <f t="shared" si="5"/>
        <v>4.0757390699468488E-2</v>
      </c>
      <c r="DE4" s="28">
        <f t="shared" si="6"/>
        <v>0.14276591642085842</v>
      </c>
      <c r="DF4" s="19">
        <f t="shared" si="7"/>
        <v>10890.68</v>
      </c>
      <c r="DG4" s="19">
        <f t="shared" si="8"/>
        <v>35995.300000000003</v>
      </c>
    </row>
    <row r="5" spans="1:112" ht="24.75" customHeight="1" x14ac:dyDescent="0.35">
      <c r="A5" s="26" t="s">
        <v>78</v>
      </c>
      <c r="B5" s="23" t="s">
        <v>136</v>
      </c>
      <c r="C5" s="23">
        <v>59090.91</v>
      </c>
      <c r="D5" s="23">
        <v>60833.33</v>
      </c>
      <c r="E5" s="23">
        <v>68304.55</v>
      </c>
      <c r="F5" s="23">
        <v>76075</v>
      </c>
      <c r="G5" s="23">
        <v>80797.62</v>
      </c>
      <c r="H5" s="23">
        <v>83162.5</v>
      </c>
      <c r="I5" s="23">
        <v>92357.14</v>
      </c>
      <c r="J5" s="23">
        <v>90062.5</v>
      </c>
      <c r="K5" s="23">
        <v>86321.43</v>
      </c>
      <c r="L5" s="23">
        <v>74277.27</v>
      </c>
      <c r="M5" s="23">
        <v>65385.71</v>
      </c>
      <c r="N5" s="23">
        <v>63659.09</v>
      </c>
      <c r="O5" s="23">
        <v>59670.91</v>
      </c>
      <c r="P5" s="23">
        <v>54916.67</v>
      </c>
      <c r="Q5" s="23">
        <v>55261.36</v>
      </c>
      <c r="R5" s="23">
        <v>45973.68</v>
      </c>
      <c r="S5" s="23">
        <v>33818.18</v>
      </c>
      <c r="T5" s="23">
        <v>32250</v>
      </c>
      <c r="U5" s="23">
        <v>32320.45</v>
      </c>
      <c r="V5" s="23">
        <v>34750</v>
      </c>
      <c r="W5" s="23">
        <v>31386.36</v>
      </c>
      <c r="X5" s="23">
        <v>28527.27</v>
      </c>
      <c r="Y5" s="23">
        <v>28385.71</v>
      </c>
      <c r="Z5" s="23">
        <v>34363.64</v>
      </c>
      <c r="AA5" s="23">
        <v>36035.71</v>
      </c>
      <c r="AB5" s="23">
        <v>35500</v>
      </c>
      <c r="AC5" s="23">
        <v>34772.730000000003</v>
      </c>
      <c r="AD5" s="23">
        <v>32361.11</v>
      </c>
      <c r="AE5" s="23">
        <v>33326.089999999997</v>
      </c>
      <c r="AF5" s="23">
        <v>31928.57</v>
      </c>
      <c r="AG5" s="23">
        <v>29500</v>
      </c>
      <c r="AH5" s="23">
        <v>29500</v>
      </c>
      <c r="AI5" s="23">
        <v>29372.73</v>
      </c>
      <c r="AJ5" s="23">
        <v>28552.5</v>
      </c>
      <c r="AK5" s="23">
        <v>31008.04</v>
      </c>
      <c r="AL5" s="23">
        <v>33150.239999999998</v>
      </c>
      <c r="AM5" s="23">
        <v>33636.67</v>
      </c>
      <c r="AN5" s="23">
        <v>32583.26</v>
      </c>
      <c r="AO5" s="23">
        <v>31886.19</v>
      </c>
      <c r="AP5" s="23">
        <v>34765.53</v>
      </c>
      <c r="AQ5" s="23">
        <v>43658.91</v>
      </c>
      <c r="AR5" s="23">
        <v>52486.75</v>
      </c>
      <c r="AS5" s="23">
        <v>50770.53</v>
      </c>
      <c r="AT5" s="23">
        <v>46020.71</v>
      </c>
      <c r="AU5" s="23">
        <v>43199.519999999997</v>
      </c>
      <c r="AV5" s="23">
        <v>49102.14</v>
      </c>
      <c r="AW5" s="23">
        <v>52317.83</v>
      </c>
      <c r="AX5" s="23">
        <v>50793.25</v>
      </c>
      <c r="AY5" s="23">
        <v>53622.73</v>
      </c>
      <c r="AZ5" s="23">
        <v>57995.22</v>
      </c>
      <c r="BA5" s="23">
        <v>66505.5</v>
      </c>
      <c r="BB5" s="23">
        <v>70178.5</v>
      </c>
      <c r="BC5" s="23">
        <v>70856.820000000007</v>
      </c>
      <c r="BD5" s="23">
        <v>77743.75</v>
      </c>
      <c r="BE5" s="23">
        <v>81947</v>
      </c>
      <c r="BF5" s="23">
        <v>80382.86</v>
      </c>
      <c r="BG5" s="23">
        <v>73362.89</v>
      </c>
      <c r="BH5" s="23">
        <v>64670.45</v>
      </c>
      <c r="BI5" s="23">
        <v>49133.91</v>
      </c>
      <c r="BJ5" s="23">
        <v>51264</v>
      </c>
      <c r="BK5" s="23">
        <v>51510.68</v>
      </c>
      <c r="BL5" s="23">
        <v>51510.45</v>
      </c>
      <c r="BM5" s="23">
        <v>51494.76</v>
      </c>
      <c r="BN5" s="23">
        <v>49931.5</v>
      </c>
      <c r="BO5" s="23">
        <v>42613.81</v>
      </c>
      <c r="BP5" s="23">
        <v>33981.75</v>
      </c>
      <c r="BQ5" s="23">
        <v>34228.239999999998</v>
      </c>
      <c r="BR5" s="23">
        <v>34493</v>
      </c>
      <c r="BS5" s="23">
        <v>29965</v>
      </c>
      <c r="BT5" s="23">
        <v>31475</v>
      </c>
      <c r="BU5" s="23">
        <v>32980.449999999997</v>
      </c>
      <c r="BV5" s="23">
        <v>32980.71</v>
      </c>
      <c r="BW5" s="23">
        <v>32980.910000000003</v>
      </c>
      <c r="BX5" s="23">
        <v>32997.379999999997</v>
      </c>
      <c r="BY5" s="23">
        <v>31920</v>
      </c>
      <c r="BZ5" s="23">
        <v>28696.25</v>
      </c>
      <c r="CA5" s="23">
        <v>28493.81</v>
      </c>
      <c r="CB5" s="23">
        <v>28220</v>
      </c>
      <c r="CC5" s="23">
        <v>28215.95</v>
      </c>
      <c r="CD5" s="23">
        <v>27718.68</v>
      </c>
      <c r="CE5" s="23">
        <v>26980.91</v>
      </c>
      <c r="CF5" s="23">
        <v>26628.41</v>
      </c>
      <c r="CG5" s="23">
        <v>26031.9</v>
      </c>
      <c r="CH5" s="23">
        <v>24105</v>
      </c>
      <c r="CI5" s="23">
        <v>24184.52</v>
      </c>
      <c r="CJ5" s="23">
        <v>24275.45</v>
      </c>
      <c r="CK5" s="23">
        <v>24300</v>
      </c>
      <c r="CL5" s="23">
        <v>24300</v>
      </c>
      <c r="CM5" s="23">
        <v>21426</v>
      </c>
      <c r="CN5" s="23">
        <v>22890</v>
      </c>
      <c r="CO5" s="23">
        <v>31390</v>
      </c>
      <c r="CP5" s="23">
        <v>33710.629999999997</v>
      </c>
      <c r="CQ5" s="23">
        <v>33274.620000000003</v>
      </c>
      <c r="CR5" s="23">
        <v>33260.769999999997</v>
      </c>
      <c r="CS5" s="23">
        <v>33256.79</v>
      </c>
      <c r="CT5" s="23">
        <v>33235.33</v>
      </c>
      <c r="CU5" s="23">
        <v>32944</v>
      </c>
      <c r="CV5" s="23">
        <v>32896</v>
      </c>
      <c r="CW5" s="23">
        <v>32894.33</v>
      </c>
      <c r="CX5" s="23">
        <v>32893.33</v>
      </c>
      <c r="CY5" s="27">
        <f t="shared" si="0"/>
        <v>0.24845483980543617</v>
      </c>
      <c r="CZ5" s="27">
        <f t="shared" si="1"/>
        <v>43671.302400000022</v>
      </c>
      <c r="DA5" s="27">
        <f t="shared" si="2"/>
        <v>18105.425517124317</v>
      </c>
      <c r="DB5" s="28">
        <f t="shared" si="3"/>
        <v>0.41458405227512307</v>
      </c>
      <c r="DC5" s="28">
        <f t="shared" si="4"/>
        <v>0.55665634528221009</v>
      </c>
      <c r="DD5" s="28">
        <f t="shared" si="5"/>
        <v>-7.060914352820169E-2</v>
      </c>
      <c r="DE5" s="28">
        <f t="shared" si="6"/>
        <v>-0.1703132166824029</v>
      </c>
      <c r="DF5" s="19">
        <f t="shared" si="7"/>
        <v>21426</v>
      </c>
      <c r="DG5" s="19">
        <f t="shared" si="8"/>
        <v>92357.14</v>
      </c>
    </row>
    <row r="6" spans="1:112" ht="22.5" customHeight="1" x14ac:dyDescent="0.35">
      <c r="A6" s="26" t="s">
        <v>88</v>
      </c>
      <c r="B6" s="24" t="s">
        <v>137</v>
      </c>
      <c r="C6" s="24">
        <v>2511.66</v>
      </c>
      <c r="D6" s="24">
        <v>2469.98</v>
      </c>
      <c r="E6" s="24">
        <v>2489.52</v>
      </c>
      <c r="F6" s="24">
        <v>2552.0300000000002</v>
      </c>
      <c r="G6" s="24">
        <v>2602.88</v>
      </c>
      <c r="H6" s="24">
        <v>2452.0500000000002</v>
      </c>
      <c r="I6" s="24">
        <v>2372.19</v>
      </c>
      <c r="J6" s="24">
        <v>2325.25</v>
      </c>
      <c r="K6" s="24">
        <v>2452.33</v>
      </c>
      <c r="L6" s="24">
        <v>2312.52</v>
      </c>
      <c r="M6" s="24">
        <v>2102.4299999999998</v>
      </c>
      <c r="N6" s="24">
        <v>2040.55</v>
      </c>
      <c r="O6" s="24">
        <v>1998.07</v>
      </c>
      <c r="P6" s="24">
        <v>1950.19</v>
      </c>
      <c r="Q6" s="24">
        <v>1948.14</v>
      </c>
      <c r="R6" s="24">
        <v>1965.18</v>
      </c>
      <c r="S6" s="24">
        <v>2053.8000000000002</v>
      </c>
      <c r="T6" s="24">
        <v>2080.6799999999998</v>
      </c>
      <c r="U6" s="24">
        <v>1977.25</v>
      </c>
      <c r="V6" s="24">
        <v>1863.53</v>
      </c>
      <c r="W6" s="24">
        <v>1847.68</v>
      </c>
      <c r="X6" s="24">
        <v>1929.11</v>
      </c>
      <c r="Y6" s="24">
        <v>2031.07</v>
      </c>
      <c r="Z6" s="24">
        <v>2066.9299999999998</v>
      </c>
      <c r="AA6" s="24">
        <v>2126.2399999999998</v>
      </c>
      <c r="AB6" s="24">
        <v>2145.1999999999998</v>
      </c>
      <c r="AC6" s="24">
        <v>1913.64</v>
      </c>
      <c r="AD6" s="24">
        <v>1920.47</v>
      </c>
      <c r="AE6" s="24">
        <v>1891.33</v>
      </c>
      <c r="AF6" s="24">
        <v>1826.38</v>
      </c>
      <c r="AG6" s="24">
        <v>1666.37</v>
      </c>
      <c r="AH6" s="24">
        <v>1614.79</v>
      </c>
      <c r="AI6" s="24">
        <v>1697.68</v>
      </c>
      <c r="AJ6" s="24">
        <v>1793.25</v>
      </c>
      <c r="AK6" s="24">
        <v>1874.8</v>
      </c>
      <c r="AL6" s="24">
        <v>1927.1</v>
      </c>
      <c r="AM6" s="24">
        <v>1799.07</v>
      </c>
      <c r="AN6" s="24">
        <v>1826</v>
      </c>
      <c r="AO6" s="24">
        <v>2044.26</v>
      </c>
      <c r="AP6" s="24">
        <v>1988.58</v>
      </c>
      <c r="AQ6" s="24">
        <v>2054.63</v>
      </c>
      <c r="AR6" s="24">
        <v>2011.18</v>
      </c>
      <c r="AS6" s="24">
        <v>1958.34</v>
      </c>
      <c r="AT6" s="24">
        <v>2128.5500000000002</v>
      </c>
      <c r="AU6" s="24">
        <v>2173.67</v>
      </c>
      <c r="AV6" s="24">
        <v>2273.14</v>
      </c>
      <c r="AW6" s="24">
        <v>2402.67</v>
      </c>
      <c r="AX6" s="24">
        <v>2369.8000000000002</v>
      </c>
      <c r="AY6" s="24">
        <v>2232.09</v>
      </c>
      <c r="AZ6" s="24">
        <v>2390</v>
      </c>
      <c r="BA6" s="24">
        <v>2300.15</v>
      </c>
      <c r="BB6" s="24">
        <v>2331.65</v>
      </c>
      <c r="BC6" s="24">
        <v>2301.02</v>
      </c>
      <c r="BD6" s="24">
        <v>2363.75</v>
      </c>
      <c r="BE6" s="24">
        <v>2392.1</v>
      </c>
      <c r="BF6" s="24">
        <v>2224.7600000000002</v>
      </c>
      <c r="BG6" s="24">
        <v>2138.9499999999998</v>
      </c>
      <c r="BH6" s="24">
        <v>1966.91</v>
      </c>
      <c r="BI6" s="24">
        <v>2082.87</v>
      </c>
      <c r="BJ6" s="24">
        <v>1935.83</v>
      </c>
      <c r="BK6" s="24">
        <v>1943.09</v>
      </c>
      <c r="BL6" s="24">
        <v>2031</v>
      </c>
      <c r="BM6" s="24">
        <v>2156.9</v>
      </c>
      <c r="BN6" s="24">
        <v>2254.7800000000002</v>
      </c>
      <c r="BO6" s="24">
        <v>2115.4</v>
      </c>
      <c r="BP6" s="24">
        <v>2096.1999999999998</v>
      </c>
      <c r="BQ6" s="24">
        <v>2143.38</v>
      </c>
      <c r="BR6" s="24">
        <v>2122.1</v>
      </c>
      <c r="BS6" s="24">
        <v>2076.4299999999998</v>
      </c>
      <c r="BT6" s="24">
        <v>2119.39</v>
      </c>
      <c r="BU6" s="24">
        <v>2132.09</v>
      </c>
      <c r="BV6" s="24">
        <v>2246.14</v>
      </c>
      <c r="BW6" s="24">
        <v>2162.1799999999998</v>
      </c>
      <c r="BX6" s="24">
        <v>2166.9299999999998</v>
      </c>
      <c r="BY6" s="24">
        <v>2096.5</v>
      </c>
      <c r="BZ6" s="24">
        <v>2046.35</v>
      </c>
      <c r="CA6" s="24">
        <v>2111.6</v>
      </c>
      <c r="CB6" s="24">
        <v>2089.4</v>
      </c>
      <c r="CC6" s="24">
        <v>2071.5500000000002</v>
      </c>
      <c r="CD6" s="24">
        <v>2181.6799999999998</v>
      </c>
      <c r="CE6" s="24">
        <v>2196.0500000000002</v>
      </c>
      <c r="CF6" s="24">
        <v>2154.9299999999998</v>
      </c>
      <c r="CG6" s="24">
        <v>1993.69</v>
      </c>
      <c r="CH6" s="24">
        <v>2008</v>
      </c>
      <c r="CI6" s="24">
        <v>2054.4299999999998</v>
      </c>
      <c r="CJ6" s="24">
        <v>1989.41</v>
      </c>
      <c r="CK6" s="24">
        <v>2012.14</v>
      </c>
      <c r="CL6" s="24">
        <v>1927.97</v>
      </c>
      <c r="CM6" s="24">
        <v>1956.43</v>
      </c>
      <c r="CN6" s="24">
        <v>1978.5</v>
      </c>
      <c r="CO6" s="24">
        <v>2041.23</v>
      </c>
      <c r="CP6" s="24">
        <v>1976.31</v>
      </c>
      <c r="CQ6" s="24">
        <v>1890.35</v>
      </c>
      <c r="CR6" s="24">
        <v>1939.08</v>
      </c>
      <c r="CS6" s="24">
        <v>1961.68</v>
      </c>
      <c r="CT6" s="24">
        <v>1954.9</v>
      </c>
      <c r="CU6" s="24">
        <v>1966.93</v>
      </c>
      <c r="CV6" s="24">
        <v>2009.27</v>
      </c>
      <c r="CW6" s="24">
        <v>1991.1</v>
      </c>
      <c r="CX6" s="24">
        <v>1969.7</v>
      </c>
      <c r="CY6" s="27">
        <f t="shared" si="0"/>
        <v>0.29633209460114929</v>
      </c>
      <c r="CZ6" s="27">
        <f t="shared" si="1"/>
        <v>2088.1742999999997</v>
      </c>
      <c r="DA6" s="27">
        <f t="shared" si="2"/>
        <v>195.55085793444889</v>
      </c>
      <c r="DB6" s="28">
        <f t="shared" si="3"/>
        <v>9.364680809185752E-2</v>
      </c>
      <c r="DC6" s="28">
        <f t="shared" si="4"/>
        <v>0.7842223867880207</v>
      </c>
      <c r="DD6" s="28">
        <f t="shared" si="5"/>
        <v>-2.9925911281795337E-2</v>
      </c>
      <c r="DE6" s="28">
        <f t="shared" si="6"/>
        <v>-0.31956146601858776</v>
      </c>
      <c r="DF6" s="19">
        <f t="shared" si="7"/>
        <v>1614.79</v>
      </c>
      <c r="DG6" s="19">
        <f t="shared" si="8"/>
        <v>2602.88</v>
      </c>
    </row>
    <row r="7" spans="1:112" ht="24" customHeight="1" thickBot="1" x14ac:dyDescent="0.4">
      <c r="A7" s="26" t="s">
        <v>82</v>
      </c>
      <c r="B7" s="23" t="s">
        <v>138</v>
      </c>
      <c r="C7" s="23">
        <v>3239.61</v>
      </c>
      <c r="D7" s="23">
        <v>3249.17</v>
      </c>
      <c r="E7" s="23">
        <v>3187.5</v>
      </c>
      <c r="F7" s="23">
        <v>3363.7</v>
      </c>
      <c r="G7" s="23">
        <v>3524.83</v>
      </c>
      <c r="H7" s="23">
        <v>3382.9</v>
      </c>
      <c r="I7" s="23">
        <v>3222.74</v>
      </c>
      <c r="J7" s="23">
        <v>3098.3</v>
      </c>
      <c r="K7" s="23">
        <v>3128.57</v>
      </c>
      <c r="L7" s="23">
        <v>2782.55</v>
      </c>
      <c r="M7" s="23">
        <v>2571.38</v>
      </c>
      <c r="N7" s="23">
        <v>2422.4299999999998</v>
      </c>
      <c r="O7" s="23">
        <v>2616.9299999999998</v>
      </c>
      <c r="P7" s="23">
        <v>2624.29</v>
      </c>
      <c r="Q7" s="23">
        <v>2631.95</v>
      </c>
      <c r="R7" s="23">
        <v>2517.7399999999998</v>
      </c>
      <c r="S7" s="23">
        <v>2666.93</v>
      </c>
      <c r="T7" s="23">
        <v>2789.5</v>
      </c>
      <c r="U7" s="23">
        <v>2940.43</v>
      </c>
      <c r="V7" s="23">
        <v>2818.39</v>
      </c>
      <c r="W7" s="23">
        <v>2649.66</v>
      </c>
      <c r="X7" s="23">
        <v>2487.86</v>
      </c>
      <c r="Y7" s="23">
        <v>2343.71</v>
      </c>
      <c r="Z7" s="23">
        <v>2295.4499999999998</v>
      </c>
      <c r="AA7" s="23">
        <v>2365.19</v>
      </c>
      <c r="AB7" s="23">
        <v>2515.34</v>
      </c>
      <c r="AC7" s="23">
        <v>2284.09</v>
      </c>
      <c r="AD7" s="23">
        <v>2349.64</v>
      </c>
      <c r="AE7" s="23">
        <v>2239.61</v>
      </c>
      <c r="AF7" s="23">
        <v>1978.31</v>
      </c>
      <c r="AG7" s="23">
        <v>1866.11</v>
      </c>
      <c r="AH7" s="23">
        <v>1934.31</v>
      </c>
      <c r="AI7" s="23">
        <v>1997.07</v>
      </c>
      <c r="AJ7" s="23">
        <v>2088.7800000000002</v>
      </c>
      <c r="AK7" s="23">
        <v>2310.7399999999998</v>
      </c>
      <c r="AL7" s="23">
        <v>2467.2399999999998</v>
      </c>
      <c r="AM7" s="23">
        <v>2396.2600000000002</v>
      </c>
      <c r="AN7" s="23">
        <v>2585.33</v>
      </c>
      <c r="AO7" s="23">
        <v>2778.95</v>
      </c>
      <c r="AP7" s="23">
        <v>2762.34</v>
      </c>
      <c r="AQ7" s="23">
        <v>2680.76</v>
      </c>
      <c r="AR7" s="23">
        <v>2799.25</v>
      </c>
      <c r="AS7" s="23">
        <v>2807.29</v>
      </c>
      <c r="AT7" s="23">
        <v>2920.67</v>
      </c>
      <c r="AU7" s="23">
        <v>2983.55</v>
      </c>
      <c r="AV7" s="23">
        <v>2915.29</v>
      </c>
      <c r="AW7" s="23">
        <v>2915.29</v>
      </c>
      <c r="AX7" s="23">
        <v>3018.13</v>
      </c>
      <c r="AY7" s="23">
        <v>3195.77</v>
      </c>
      <c r="AZ7" s="23">
        <v>3360.96</v>
      </c>
      <c r="BA7" s="23">
        <v>3340.45</v>
      </c>
      <c r="BB7" s="23">
        <v>3564.53</v>
      </c>
      <c r="BC7" s="23">
        <v>3648</v>
      </c>
      <c r="BD7" s="23">
        <v>3831.8</v>
      </c>
      <c r="BE7" s="23">
        <v>4240.7299999999996</v>
      </c>
      <c r="BF7" s="23">
        <v>3964.33</v>
      </c>
      <c r="BG7" s="23">
        <v>3772.24</v>
      </c>
      <c r="BH7" s="23">
        <v>3262.23</v>
      </c>
      <c r="BI7" s="23">
        <v>3416.7</v>
      </c>
      <c r="BJ7" s="23">
        <v>3342.58</v>
      </c>
      <c r="BK7" s="23">
        <v>2994.16</v>
      </c>
      <c r="BL7" s="23">
        <v>2927.73</v>
      </c>
      <c r="BM7" s="23">
        <v>3082.81</v>
      </c>
      <c r="BN7" s="23">
        <v>3135.63</v>
      </c>
      <c r="BO7" s="23">
        <v>3281.02</v>
      </c>
      <c r="BP7" s="23">
        <v>3014.45</v>
      </c>
      <c r="BQ7" s="23">
        <v>2880.95</v>
      </c>
      <c r="BR7" s="23">
        <v>2602.1999999999998</v>
      </c>
      <c r="BS7" s="23">
        <v>2352.35</v>
      </c>
      <c r="BT7" s="23">
        <v>2364.9499999999998</v>
      </c>
      <c r="BU7" s="23">
        <v>2429.0500000000002</v>
      </c>
      <c r="BV7" s="23">
        <v>2427.98</v>
      </c>
      <c r="BW7" s="23">
        <v>2482.27</v>
      </c>
      <c r="BX7" s="23">
        <v>2509.48</v>
      </c>
      <c r="BY7" s="23">
        <v>2486.6799999999998</v>
      </c>
      <c r="BZ7" s="23">
        <v>2534.5</v>
      </c>
      <c r="CA7" s="23">
        <v>2433.21</v>
      </c>
      <c r="CB7" s="23">
        <v>2433.9299999999998</v>
      </c>
      <c r="CC7" s="23">
        <v>2596.4</v>
      </c>
      <c r="CD7" s="23">
        <v>2875.42</v>
      </c>
      <c r="CE7" s="23">
        <v>2894.52</v>
      </c>
      <c r="CF7" s="23">
        <v>2861.05</v>
      </c>
      <c r="CG7" s="23">
        <v>2631.62</v>
      </c>
      <c r="CH7" s="23">
        <v>2796.11</v>
      </c>
      <c r="CI7" s="23">
        <v>3040.48</v>
      </c>
      <c r="CJ7" s="23">
        <v>3045.48</v>
      </c>
      <c r="CK7" s="23">
        <v>3052.05</v>
      </c>
      <c r="CL7" s="23">
        <v>2896.25</v>
      </c>
      <c r="CM7" s="23">
        <v>2811.47</v>
      </c>
      <c r="CN7" s="23">
        <v>2826.27</v>
      </c>
      <c r="CO7" s="23">
        <v>2902.43</v>
      </c>
      <c r="CP7" s="23">
        <v>2800.34</v>
      </c>
      <c r="CQ7" s="23">
        <v>2594.27</v>
      </c>
      <c r="CR7" s="23">
        <v>2595.88</v>
      </c>
      <c r="CS7" s="23">
        <v>2650.29</v>
      </c>
      <c r="CT7" s="23">
        <v>2659.2</v>
      </c>
      <c r="CU7" s="23">
        <v>2627.8</v>
      </c>
      <c r="CV7" s="23">
        <v>2696.83</v>
      </c>
      <c r="CW7" s="23">
        <v>2760.77</v>
      </c>
      <c r="CX7" s="23">
        <v>2799.58</v>
      </c>
      <c r="CY7" s="27">
        <f t="shared" si="0"/>
        <v>0.57099394901761691</v>
      </c>
      <c r="CZ7" s="27">
        <f t="shared" si="1"/>
        <v>2812.4423999999999</v>
      </c>
      <c r="DA7" s="27">
        <f t="shared" si="2"/>
        <v>437.94090344859546</v>
      </c>
      <c r="DB7" s="28">
        <f t="shared" si="3"/>
        <v>0.15571551027981781</v>
      </c>
      <c r="DC7" s="28">
        <f t="shared" si="4"/>
        <v>0.86417192192887404</v>
      </c>
      <c r="DD7" s="28">
        <f t="shared" si="5"/>
        <v>-1.808245768474348E-2</v>
      </c>
      <c r="DE7" s="28">
        <f t="shared" si="6"/>
        <v>-0.11612496181176588</v>
      </c>
      <c r="DF7" s="19">
        <f t="shared" si="7"/>
        <v>1866.11</v>
      </c>
      <c r="DG7" s="19">
        <f t="shared" si="8"/>
        <v>4240.7299999999996</v>
      </c>
    </row>
    <row r="8" spans="1:112" ht="29.25" customHeight="1" thickBot="1" x14ac:dyDescent="0.4">
      <c r="A8" s="26" t="s">
        <v>86</v>
      </c>
      <c r="B8" s="22" t="s">
        <v>140</v>
      </c>
      <c r="C8" s="22">
        <v>2124.3200000000002</v>
      </c>
      <c r="D8" s="22">
        <v>2127.2600000000002</v>
      </c>
      <c r="E8" s="22">
        <v>2046.93</v>
      </c>
      <c r="F8" s="22">
        <v>2194.9299999999998</v>
      </c>
      <c r="G8" s="22">
        <v>2199.5700000000002</v>
      </c>
      <c r="H8" s="22">
        <v>2132.9499999999998</v>
      </c>
      <c r="I8" s="22">
        <v>2150.79</v>
      </c>
      <c r="J8" s="22">
        <v>2301.4299999999998</v>
      </c>
      <c r="K8" s="22">
        <v>2275.4499999999998</v>
      </c>
      <c r="L8" s="22">
        <v>2136.61</v>
      </c>
      <c r="M8" s="22">
        <v>1699.33</v>
      </c>
      <c r="N8" s="22">
        <v>2040.59</v>
      </c>
      <c r="O8" s="22">
        <v>2053.8200000000002</v>
      </c>
      <c r="P8" s="22">
        <v>1956.02</v>
      </c>
      <c r="Q8" s="22">
        <v>1939.48</v>
      </c>
      <c r="R8" s="22">
        <v>1854.24</v>
      </c>
      <c r="S8" s="22">
        <v>1856.11</v>
      </c>
      <c r="T8" s="22">
        <v>1866.65</v>
      </c>
      <c r="U8" s="22">
        <v>1865.59</v>
      </c>
      <c r="V8" s="22">
        <v>1801.86</v>
      </c>
      <c r="W8" s="22">
        <v>1752</v>
      </c>
      <c r="X8" s="22">
        <v>1787.93</v>
      </c>
      <c r="Y8" s="22">
        <v>1760.83</v>
      </c>
      <c r="Z8" s="22">
        <v>1749</v>
      </c>
      <c r="AA8" s="22">
        <v>1721.38</v>
      </c>
      <c r="AB8" s="22">
        <v>1758.05</v>
      </c>
      <c r="AC8" s="22">
        <v>1762.32</v>
      </c>
      <c r="AD8" s="22">
        <v>1780.22</v>
      </c>
      <c r="AE8" s="22">
        <v>1723.11</v>
      </c>
      <c r="AF8" s="22">
        <v>1667.76</v>
      </c>
      <c r="AG8" s="22">
        <v>1480.63</v>
      </c>
      <c r="AH8" s="22">
        <v>1451.5</v>
      </c>
      <c r="AI8" s="22">
        <v>1536.23</v>
      </c>
      <c r="AJ8" s="22">
        <v>1605.78</v>
      </c>
      <c r="AK8" s="22">
        <v>1700.65</v>
      </c>
      <c r="AL8" s="22">
        <v>1749.55</v>
      </c>
      <c r="AM8" s="22">
        <v>1768.52</v>
      </c>
      <c r="AN8" s="22">
        <v>1874</v>
      </c>
      <c r="AO8" s="22">
        <v>2010.1</v>
      </c>
      <c r="AP8" s="22">
        <v>2006.63</v>
      </c>
      <c r="AQ8" s="22">
        <v>2029.61</v>
      </c>
      <c r="AR8" s="22">
        <v>2171.5500000000002</v>
      </c>
      <c r="AS8" s="22">
        <v>2255.2600000000002</v>
      </c>
      <c r="AT8" s="22">
        <v>2433.88</v>
      </c>
      <c r="AU8" s="22">
        <v>2418.5500000000002</v>
      </c>
      <c r="AV8" s="22">
        <v>2466.4499999999998</v>
      </c>
      <c r="AW8" s="22">
        <v>2557.3000000000002</v>
      </c>
      <c r="AX8" s="22">
        <v>2748.9</v>
      </c>
      <c r="AY8" s="22">
        <v>2961.68</v>
      </c>
      <c r="AZ8" s="22">
        <v>2709.41</v>
      </c>
      <c r="BA8" s="22">
        <v>2650.05</v>
      </c>
      <c r="BB8" s="22">
        <v>2883.35</v>
      </c>
      <c r="BC8" s="22">
        <v>3159.86</v>
      </c>
      <c r="BD8" s="22">
        <v>3483.9</v>
      </c>
      <c r="BE8" s="22">
        <v>3440.38</v>
      </c>
      <c r="BF8" s="22">
        <v>2931.62</v>
      </c>
      <c r="BG8" s="22">
        <v>2738.74</v>
      </c>
      <c r="BH8" s="22">
        <v>2412.5700000000002</v>
      </c>
      <c r="BI8" s="22">
        <v>2436.52</v>
      </c>
      <c r="BJ8" s="22">
        <v>2324.0500000000002</v>
      </c>
      <c r="BK8" s="22">
        <v>2225.5</v>
      </c>
      <c r="BL8" s="22">
        <v>2282.98</v>
      </c>
      <c r="BM8" s="22">
        <v>2393.71</v>
      </c>
      <c r="BN8" s="22">
        <v>2402.5300000000002</v>
      </c>
      <c r="BO8" s="22">
        <v>2501.5500000000002</v>
      </c>
      <c r="BP8" s="22">
        <v>2313.8000000000002</v>
      </c>
      <c r="BQ8" s="22">
        <v>2313.4499999999998</v>
      </c>
      <c r="BR8" s="22">
        <v>2307.0300000000002</v>
      </c>
      <c r="BS8" s="22">
        <v>2218.4499999999998</v>
      </c>
      <c r="BT8" s="22">
        <v>2141.25</v>
      </c>
      <c r="BU8" s="22">
        <v>2151.5700000000002</v>
      </c>
      <c r="BV8" s="22">
        <v>2144.36</v>
      </c>
      <c r="BW8" s="22">
        <v>2201.0700000000002</v>
      </c>
      <c r="BX8" s="22">
        <v>2205.4</v>
      </c>
      <c r="BY8" s="22">
        <v>2154.0700000000002</v>
      </c>
      <c r="BZ8" s="22">
        <v>2214.2800000000002</v>
      </c>
      <c r="CA8" s="22">
        <v>2195</v>
      </c>
      <c r="CB8" s="22">
        <v>2187.0500000000002</v>
      </c>
      <c r="CC8" s="22">
        <v>2390.31</v>
      </c>
      <c r="CD8" s="22">
        <v>2539.08</v>
      </c>
      <c r="CE8" s="22">
        <v>2562.36</v>
      </c>
      <c r="CF8" s="22">
        <v>2440.3200000000002</v>
      </c>
      <c r="CG8" s="22">
        <v>2244.1</v>
      </c>
      <c r="CH8" s="22">
        <v>2430.3200000000002</v>
      </c>
      <c r="CI8" s="22">
        <v>2571.5</v>
      </c>
      <c r="CJ8" s="22">
        <v>2591.86</v>
      </c>
      <c r="CK8" s="22">
        <v>2565.23</v>
      </c>
      <c r="CL8" s="22">
        <v>2531.9699999999998</v>
      </c>
      <c r="CM8" s="22">
        <v>2659.1</v>
      </c>
      <c r="CN8" s="22">
        <v>2673.04</v>
      </c>
      <c r="CO8" s="22">
        <v>2687.27</v>
      </c>
      <c r="CP8" s="22">
        <v>2517.4699999999998</v>
      </c>
      <c r="CQ8" s="22">
        <v>2355.31</v>
      </c>
      <c r="CR8" s="22">
        <v>2392.88</v>
      </c>
      <c r="CS8" s="22">
        <v>2443.3200000000002</v>
      </c>
      <c r="CT8" s="22">
        <v>2457.13</v>
      </c>
      <c r="CU8" s="22">
        <v>2515.1</v>
      </c>
      <c r="CV8" s="22">
        <v>2577.4</v>
      </c>
      <c r="CW8" s="22">
        <v>2604.4</v>
      </c>
      <c r="CX8" s="22">
        <v>2611.4699999999998</v>
      </c>
      <c r="CY8" s="29">
        <f t="shared" si="0"/>
        <v>0.65398224468995225</v>
      </c>
      <c r="CZ8" s="27">
        <f t="shared" si="1"/>
        <v>2243.9774000000002</v>
      </c>
      <c r="DA8" s="27">
        <f t="shared" si="2"/>
        <v>396.40523419884312</v>
      </c>
      <c r="DB8" s="30">
        <f t="shared" si="3"/>
        <v>0.17665295301050851</v>
      </c>
      <c r="DC8" s="28">
        <f t="shared" si="4"/>
        <v>1.229320441364766</v>
      </c>
      <c r="DD8" s="28">
        <f t="shared" si="5"/>
        <v>2.6143593107297081E-2</v>
      </c>
      <c r="DE8" s="28">
        <f t="shared" si="6"/>
        <v>0.1479940904567946</v>
      </c>
      <c r="DF8" s="19">
        <f t="shared" si="7"/>
        <v>1451.5</v>
      </c>
      <c r="DG8" s="19">
        <f t="shared" si="8"/>
        <v>3483.9</v>
      </c>
    </row>
    <row r="9" spans="1:112" ht="23.25" customHeight="1" thickBot="1" x14ac:dyDescent="0.4">
      <c r="A9" s="26" t="s">
        <v>84</v>
      </c>
      <c r="B9" s="25" t="s">
        <v>141</v>
      </c>
      <c r="C9" s="25">
        <v>6618.05</v>
      </c>
      <c r="D9" s="25">
        <v>6860.5</v>
      </c>
      <c r="E9" s="25">
        <v>6741.5</v>
      </c>
      <c r="F9" s="25">
        <v>7095.83</v>
      </c>
      <c r="G9" s="25">
        <v>7004.4</v>
      </c>
      <c r="H9" s="25">
        <v>6932.35</v>
      </c>
      <c r="I9" s="25">
        <v>6751.79</v>
      </c>
      <c r="J9" s="25">
        <v>6837.1</v>
      </c>
      <c r="K9" s="25">
        <v>6996.69</v>
      </c>
      <c r="L9" s="25">
        <v>6446.39</v>
      </c>
      <c r="M9" s="25">
        <v>6107.4</v>
      </c>
      <c r="N9" s="25">
        <v>5956.98</v>
      </c>
      <c r="O9" s="25">
        <v>6226.2</v>
      </c>
      <c r="P9" s="25">
        <v>6174.14</v>
      </c>
      <c r="Q9" s="25">
        <v>6180.77</v>
      </c>
      <c r="R9" s="25">
        <v>5926.24</v>
      </c>
      <c r="S9" s="25">
        <v>6093.59</v>
      </c>
      <c r="T9" s="25">
        <v>6475.48</v>
      </c>
      <c r="U9" s="25">
        <v>6442.16</v>
      </c>
      <c r="V9" s="25">
        <v>6218.67</v>
      </c>
      <c r="W9" s="25">
        <v>5852</v>
      </c>
      <c r="X9" s="25">
        <v>5937.45</v>
      </c>
      <c r="Y9" s="25">
        <v>5816.4</v>
      </c>
      <c r="Z9" s="25">
        <v>5725.3</v>
      </c>
      <c r="AA9" s="25">
        <v>5697.05</v>
      </c>
      <c r="AB9" s="25">
        <v>5851.98</v>
      </c>
      <c r="AC9" s="25">
        <v>5959.75</v>
      </c>
      <c r="AD9" s="25">
        <v>6178.78</v>
      </c>
      <c r="AE9" s="25">
        <v>5786.04</v>
      </c>
      <c r="AF9" s="25">
        <v>5493.5</v>
      </c>
      <c r="AG9" s="25">
        <v>4889.68</v>
      </c>
      <c r="AH9" s="25">
        <v>5162.17</v>
      </c>
      <c r="AI9" s="25">
        <v>5550.18</v>
      </c>
      <c r="AJ9" s="25">
        <v>6150.3</v>
      </c>
      <c r="AK9" s="25">
        <v>6447.8</v>
      </c>
      <c r="AL9" s="25">
        <v>6701.07</v>
      </c>
      <c r="AM9" s="25">
        <v>6639.12</v>
      </c>
      <c r="AN9" s="25">
        <v>6874.41</v>
      </c>
      <c r="AO9" s="25">
        <v>7607.31</v>
      </c>
      <c r="AP9" s="25">
        <v>7921.82</v>
      </c>
      <c r="AQ9" s="25">
        <v>8101.57</v>
      </c>
      <c r="AR9" s="25">
        <v>9099.58</v>
      </c>
      <c r="AS9" s="25">
        <v>8994.9699999999993</v>
      </c>
      <c r="AT9" s="25">
        <v>10031.36</v>
      </c>
      <c r="AU9" s="25">
        <v>9869</v>
      </c>
      <c r="AV9" s="25">
        <v>9334.07</v>
      </c>
      <c r="AW9" s="25">
        <v>9448.7999999999993</v>
      </c>
      <c r="AX9" s="25">
        <v>9360.7800000000007</v>
      </c>
      <c r="AY9" s="25">
        <v>9470.34</v>
      </c>
      <c r="AZ9" s="25">
        <v>9844.41</v>
      </c>
      <c r="BA9" s="25">
        <v>9604</v>
      </c>
      <c r="BB9" s="25">
        <v>9687.33</v>
      </c>
      <c r="BC9" s="25">
        <v>9888.14</v>
      </c>
      <c r="BD9" s="25">
        <v>10124.75</v>
      </c>
      <c r="BE9" s="25">
        <v>10311.18</v>
      </c>
      <c r="BF9" s="25">
        <v>9581.83</v>
      </c>
      <c r="BG9" s="25">
        <v>9428.5300000000007</v>
      </c>
      <c r="BH9" s="25">
        <v>7957.07</v>
      </c>
      <c r="BI9" s="25">
        <v>7780.24</v>
      </c>
      <c r="BJ9" s="25">
        <v>7901.75</v>
      </c>
      <c r="BK9" s="25">
        <v>7608.77</v>
      </c>
      <c r="BL9" s="25">
        <v>7890.73</v>
      </c>
      <c r="BM9" s="25">
        <v>8235.57</v>
      </c>
      <c r="BN9" s="25">
        <v>8671.85</v>
      </c>
      <c r="BO9" s="25">
        <v>9070.33</v>
      </c>
      <c r="BP9" s="25">
        <v>8843.1</v>
      </c>
      <c r="BQ9" s="25">
        <v>8910.6200000000008</v>
      </c>
      <c r="BR9" s="25">
        <v>8458.3799999999992</v>
      </c>
      <c r="BS9" s="25">
        <v>8247.1</v>
      </c>
      <c r="BT9" s="25">
        <v>8394.61</v>
      </c>
      <c r="BU9" s="25">
        <v>8420.14</v>
      </c>
      <c r="BV9" s="25">
        <v>8353.2099999999991</v>
      </c>
      <c r="BW9" s="25">
        <v>8007.89</v>
      </c>
      <c r="BX9" s="25">
        <v>8032.14</v>
      </c>
      <c r="BY9" s="25">
        <v>8331.57</v>
      </c>
      <c r="BZ9" s="25">
        <v>8359.5300000000007</v>
      </c>
      <c r="CA9" s="25">
        <v>8313.83</v>
      </c>
      <c r="CB9" s="25">
        <v>8544.57</v>
      </c>
      <c r="CC9" s="25">
        <v>9134.1200000000008</v>
      </c>
      <c r="CD9" s="25">
        <v>9900.58</v>
      </c>
      <c r="CE9" s="25">
        <v>9978.75</v>
      </c>
      <c r="CF9" s="25">
        <v>9579.11</v>
      </c>
      <c r="CG9" s="25">
        <v>8903.07</v>
      </c>
      <c r="CH9" s="25">
        <v>9093.91</v>
      </c>
      <c r="CI9" s="25">
        <v>9617</v>
      </c>
      <c r="CJ9" s="25">
        <v>9280.23</v>
      </c>
      <c r="CK9" s="25">
        <v>8945.2999999999993</v>
      </c>
      <c r="CL9" s="25">
        <v>8895.14</v>
      </c>
      <c r="CM9" s="25">
        <v>9362.83</v>
      </c>
      <c r="CN9" s="25">
        <v>9484</v>
      </c>
      <c r="CO9" s="25">
        <v>9763.8700000000008</v>
      </c>
      <c r="CP9" s="25">
        <v>9525.19</v>
      </c>
      <c r="CQ9" s="25">
        <v>9096.92</v>
      </c>
      <c r="CR9" s="25">
        <v>9384.3799999999992</v>
      </c>
      <c r="CS9" s="25">
        <v>9530.36</v>
      </c>
      <c r="CT9" s="25">
        <v>9649.6299999999992</v>
      </c>
      <c r="CU9" s="25">
        <v>9822.07</v>
      </c>
      <c r="CV9" s="25">
        <v>9952.5300000000007</v>
      </c>
      <c r="CW9" s="25">
        <v>9725.3700000000008</v>
      </c>
      <c r="CX9" s="25">
        <v>9701.83</v>
      </c>
      <c r="CY9" s="29">
        <f t="shared" si="0"/>
        <v>0.56044843141679923</v>
      </c>
      <c r="CZ9" s="27">
        <f t="shared" si="1"/>
        <v>7971.6816999999974</v>
      </c>
      <c r="DA9" s="27">
        <f t="shared" si="2"/>
        <v>1519.4204947022927</v>
      </c>
      <c r="DB9" s="30">
        <f t="shared" si="3"/>
        <v>0.19060225331153063</v>
      </c>
      <c r="DC9" s="28">
        <f t="shared" si="4"/>
        <v>1.4659650501280588</v>
      </c>
      <c r="DD9" s="28">
        <f t="shared" si="5"/>
        <v>4.8975758883020859E-2</v>
      </c>
      <c r="DE9" s="28">
        <f t="shared" si="6"/>
        <v>0.25695267517625947</v>
      </c>
      <c r="DF9" s="19">
        <f t="shared" si="7"/>
        <v>4889.68</v>
      </c>
      <c r="DG9" s="19">
        <f t="shared" si="8"/>
        <v>10311.18</v>
      </c>
    </row>
    <row r="10" spans="1:112" ht="28.5" customHeight="1" thickBot="1" x14ac:dyDescent="0.4">
      <c r="A10" s="26" t="s">
        <v>101</v>
      </c>
      <c r="B10" s="22" t="s">
        <v>142</v>
      </c>
      <c r="C10" s="22">
        <v>1286.3599999999999</v>
      </c>
      <c r="D10" s="22">
        <v>1276.76</v>
      </c>
      <c r="E10" s="22">
        <v>1269.54</v>
      </c>
      <c r="F10" s="22">
        <v>1309.96</v>
      </c>
      <c r="G10" s="22">
        <v>1337.54</v>
      </c>
      <c r="H10" s="22">
        <v>1323.17</v>
      </c>
      <c r="I10" s="22">
        <v>1337.43</v>
      </c>
      <c r="J10" s="22">
        <v>1312.51</v>
      </c>
      <c r="K10" s="22">
        <v>1295.1500000000001</v>
      </c>
      <c r="L10" s="22">
        <v>1251.46</v>
      </c>
      <c r="M10" s="22">
        <v>1212.3699999999999</v>
      </c>
      <c r="N10" s="22">
        <v>1198.5899999999999</v>
      </c>
      <c r="O10" s="22">
        <v>1204.9100000000001</v>
      </c>
      <c r="P10" s="22">
        <v>1223.05</v>
      </c>
      <c r="Q10" s="22">
        <v>1234.1500000000001</v>
      </c>
      <c r="R10" s="22">
        <v>1282.29</v>
      </c>
      <c r="S10" s="22">
        <v>1307.3599999999999</v>
      </c>
      <c r="T10" s="22">
        <v>1308.02</v>
      </c>
      <c r="U10" s="22">
        <v>1296.44</v>
      </c>
      <c r="V10" s="22">
        <v>1283.69</v>
      </c>
      <c r="W10" s="22">
        <v>1312.55</v>
      </c>
      <c r="X10" s="22">
        <v>1406.29</v>
      </c>
      <c r="Y10" s="22">
        <v>1462.46</v>
      </c>
      <c r="Z10" s="22">
        <v>1515.23</v>
      </c>
      <c r="AA10" s="22">
        <v>1498.65</v>
      </c>
      <c r="AB10" s="22">
        <v>1484.03</v>
      </c>
      <c r="AC10" s="22">
        <v>1466.68</v>
      </c>
      <c r="AD10" s="22">
        <v>1536.14</v>
      </c>
      <c r="AE10" s="22">
        <v>1571.59</v>
      </c>
      <c r="AF10" s="22">
        <v>1609.19</v>
      </c>
      <c r="AG10" s="22">
        <v>1632.92</v>
      </c>
      <c r="AH10" s="22">
        <v>1708.91</v>
      </c>
      <c r="AI10" s="22">
        <v>1719.81</v>
      </c>
      <c r="AJ10" s="22">
        <v>1784.74</v>
      </c>
      <c r="AK10" s="22">
        <v>1951.85</v>
      </c>
      <c r="AL10" s="22">
        <v>1941.15</v>
      </c>
      <c r="AM10" s="22">
        <v>1895.14</v>
      </c>
      <c r="AN10" s="22">
        <v>1891.82</v>
      </c>
      <c r="AO10" s="22">
        <v>1835.43</v>
      </c>
      <c r="AP10" s="22">
        <v>1876.42</v>
      </c>
      <c r="AQ10" s="22">
        <v>1830.05</v>
      </c>
      <c r="AR10" s="22">
        <v>1734.7</v>
      </c>
      <c r="AS10" s="22">
        <v>1735.31</v>
      </c>
      <c r="AT10" s="22">
        <v>1809.73</v>
      </c>
      <c r="AU10" s="22">
        <v>1874.33</v>
      </c>
      <c r="AV10" s="22">
        <v>1794.84</v>
      </c>
      <c r="AW10" s="22">
        <v>1789.64</v>
      </c>
      <c r="AX10" s="22">
        <v>1795.32</v>
      </c>
      <c r="AY10" s="22">
        <v>1762.57</v>
      </c>
      <c r="AZ10" s="22">
        <v>1817.52</v>
      </c>
      <c r="BA10" s="22">
        <v>1786.24</v>
      </c>
      <c r="BB10" s="22">
        <v>1807.53</v>
      </c>
      <c r="BC10" s="22">
        <v>1831.08</v>
      </c>
      <c r="BD10" s="22">
        <v>1940.31</v>
      </c>
      <c r="BE10" s="22">
        <v>1942.41</v>
      </c>
      <c r="BF10" s="22">
        <v>1873.14</v>
      </c>
      <c r="BG10" s="22">
        <v>1842.57</v>
      </c>
      <c r="BH10" s="22">
        <v>1778.12</v>
      </c>
      <c r="BI10" s="22">
        <v>1759.97</v>
      </c>
      <c r="BJ10" s="22">
        <v>1716.37</v>
      </c>
      <c r="BK10" s="22">
        <v>1666.39</v>
      </c>
      <c r="BL10" s="22">
        <v>1690.86</v>
      </c>
      <c r="BM10" s="22">
        <v>1775.03</v>
      </c>
      <c r="BN10" s="22">
        <v>1862.54</v>
      </c>
      <c r="BO10" s="22">
        <v>1889.85</v>
      </c>
      <c r="BP10" s="22">
        <v>1856.45</v>
      </c>
      <c r="BQ10" s="22">
        <v>1988.21</v>
      </c>
      <c r="BR10" s="22">
        <v>1999.99</v>
      </c>
      <c r="BS10" s="22">
        <v>1959.85</v>
      </c>
      <c r="BT10" s="22">
        <v>1931.95</v>
      </c>
      <c r="BU10" s="22">
        <v>1935.49</v>
      </c>
      <c r="BV10" s="22">
        <v>1921.85</v>
      </c>
      <c r="BW10" s="22">
        <v>1885.22</v>
      </c>
      <c r="BX10" s="22">
        <v>1973.74</v>
      </c>
      <c r="BY10" s="22">
        <v>2015.23</v>
      </c>
      <c r="BZ10" s="22">
        <v>2043.09</v>
      </c>
      <c r="CA10" s="22">
        <v>2022.29</v>
      </c>
      <c r="CB10" s="22">
        <v>2102.25</v>
      </c>
      <c r="CC10" s="22">
        <v>2286.7800000000002</v>
      </c>
      <c r="CD10" s="22">
        <v>2333.4</v>
      </c>
      <c r="CE10" s="22">
        <v>2344.4699999999998</v>
      </c>
      <c r="CF10" s="22">
        <v>2373.25</v>
      </c>
      <c r="CG10" s="22">
        <v>2425.4899999999998</v>
      </c>
      <c r="CH10" s="22">
        <v>2522.1799999999998</v>
      </c>
      <c r="CI10" s="22">
        <v>2650.71</v>
      </c>
      <c r="CJ10" s="22">
        <v>2689.46</v>
      </c>
      <c r="CK10" s="22">
        <v>2651.36</v>
      </c>
      <c r="CL10" s="22">
        <v>2651.38</v>
      </c>
      <c r="CM10" s="22">
        <v>2907.23</v>
      </c>
      <c r="CN10" s="22">
        <v>2910.6</v>
      </c>
      <c r="CO10" s="22">
        <v>2973.68</v>
      </c>
      <c r="CP10" s="22">
        <v>3056.28</v>
      </c>
      <c r="CQ10" s="22">
        <v>3216.94</v>
      </c>
      <c r="CR10" s="22">
        <v>3316.69</v>
      </c>
      <c r="CS10" s="22">
        <v>3279.13</v>
      </c>
      <c r="CT10" s="22">
        <v>3313.97</v>
      </c>
      <c r="CU10" s="22">
        <v>3362.93</v>
      </c>
      <c r="CV10" s="22">
        <v>3326.36</v>
      </c>
      <c r="CW10" s="22">
        <v>3347.17</v>
      </c>
      <c r="CX10" s="22">
        <v>3359.73</v>
      </c>
      <c r="CY10" s="29">
        <f t="shared" si="0"/>
        <v>0.10849600220044314</v>
      </c>
      <c r="CZ10" s="27">
        <f t="shared" si="1"/>
        <v>1926.9296999999999</v>
      </c>
      <c r="DA10" s="27">
        <f t="shared" si="2"/>
        <v>589.66519279747138</v>
      </c>
      <c r="DB10" s="30">
        <f t="shared" si="3"/>
        <v>0.30601282070512037</v>
      </c>
      <c r="DC10" s="28">
        <f t="shared" si="4"/>
        <v>2.6118116234957558</v>
      </c>
      <c r="DD10" s="28">
        <f t="shared" si="5"/>
        <v>0.12750306539678213</v>
      </c>
      <c r="DE10" s="28">
        <f t="shared" si="6"/>
        <v>0.41665922722775872</v>
      </c>
      <c r="DF10" s="19">
        <f t="shared" si="7"/>
        <v>1198.5899999999999</v>
      </c>
      <c r="DG10" s="19">
        <f t="shared" si="8"/>
        <v>3362.93</v>
      </c>
    </row>
    <row r="11" spans="1:112" ht="15" thickBot="1" x14ac:dyDescent="0.4">
      <c r="A11" s="26" t="s">
        <v>99</v>
      </c>
      <c r="B11" s="25" t="s">
        <v>143</v>
      </c>
      <c r="C11" s="25">
        <v>16.96</v>
      </c>
      <c r="D11" s="25">
        <v>16.97</v>
      </c>
      <c r="E11" s="25">
        <v>16.420000000000002</v>
      </c>
      <c r="F11" s="25">
        <v>16.920000000000002</v>
      </c>
      <c r="G11" s="25">
        <v>16.920000000000002</v>
      </c>
      <c r="H11" s="25">
        <v>16.510000000000002</v>
      </c>
      <c r="I11" s="25">
        <v>16.52</v>
      </c>
      <c r="J11" s="25">
        <v>16.53</v>
      </c>
      <c r="K11" s="25">
        <v>16.62</v>
      </c>
      <c r="L11" s="25">
        <v>15.99</v>
      </c>
      <c r="M11" s="25">
        <v>15.3</v>
      </c>
      <c r="N11" s="25">
        <v>14.43</v>
      </c>
      <c r="O11" s="25">
        <v>14.49</v>
      </c>
      <c r="P11" s="25">
        <v>14.48</v>
      </c>
      <c r="Q11" s="25">
        <v>14.46</v>
      </c>
      <c r="R11" s="25">
        <v>15.41</v>
      </c>
      <c r="S11" s="25">
        <v>15.68</v>
      </c>
      <c r="T11" s="25">
        <v>15.5</v>
      </c>
      <c r="U11" s="25">
        <v>15.19</v>
      </c>
      <c r="V11" s="25">
        <v>14.82</v>
      </c>
      <c r="W11" s="25">
        <v>14.67</v>
      </c>
      <c r="X11" s="25">
        <v>15.35</v>
      </c>
      <c r="Y11" s="25">
        <v>16.690000000000001</v>
      </c>
      <c r="Z11" s="25">
        <v>18.02</v>
      </c>
      <c r="AA11" s="25">
        <v>17.68</v>
      </c>
      <c r="AB11" s="25">
        <v>17.489999999999998</v>
      </c>
      <c r="AC11" s="25">
        <v>16.940000000000001</v>
      </c>
      <c r="AD11" s="25">
        <v>17.91</v>
      </c>
      <c r="AE11" s="25">
        <v>17.809999999999999</v>
      </c>
      <c r="AF11" s="25">
        <v>16.48</v>
      </c>
      <c r="AG11" s="25">
        <v>14.4</v>
      </c>
      <c r="AH11" s="25">
        <v>15.42</v>
      </c>
      <c r="AI11" s="25">
        <v>17.559999999999999</v>
      </c>
      <c r="AJ11" s="25">
        <v>18.34</v>
      </c>
      <c r="AK11" s="25">
        <v>25.08</v>
      </c>
      <c r="AL11" s="25">
        <v>27.05</v>
      </c>
      <c r="AM11" s="25">
        <v>24.02</v>
      </c>
      <c r="AN11" s="25">
        <v>24.36</v>
      </c>
      <c r="AO11" s="25">
        <v>24</v>
      </c>
      <c r="AP11" s="25">
        <v>26.03</v>
      </c>
      <c r="AQ11" s="25">
        <v>26.72</v>
      </c>
      <c r="AR11" s="25">
        <v>26.37</v>
      </c>
      <c r="AS11" s="25">
        <v>25.14</v>
      </c>
      <c r="AT11" s="25">
        <v>26.78</v>
      </c>
      <c r="AU11" s="25">
        <v>27.62</v>
      </c>
      <c r="AV11" s="25">
        <v>26.08</v>
      </c>
      <c r="AW11" s="25">
        <v>24.59</v>
      </c>
      <c r="AX11" s="25">
        <v>23.83</v>
      </c>
      <c r="AY11" s="25">
        <v>22.68</v>
      </c>
      <c r="AZ11" s="25">
        <v>24.35</v>
      </c>
      <c r="BA11" s="25">
        <v>22.77</v>
      </c>
      <c r="BB11" s="25">
        <v>22.81</v>
      </c>
      <c r="BC11" s="25">
        <v>23.27</v>
      </c>
      <c r="BD11" s="25">
        <v>25.05</v>
      </c>
      <c r="BE11" s="25">
        <v>24.99</v>
      </c>
      <c r="BF11" s="25">
        <v>22.66</v>
      </c>
      <c r="BG11" s="25">
        <v>21.83</v>
      </c>
      <c r="BH11" s="25">
        <v>20.010000000000002</v>
      </c>
      <c r="BI11" s="25">
        <v>19.73</v>
      </c>
      <c r="BJ11" s="25">
        <v>18.79</v>
      </c>
      <c r="BK11" s="25">
        <v>19.3</v>
      </c>
      <c r="BL11" s="25">
        <v>20.190000000000001</v>
      </c>
      <c r="BM11" s="25">
        <v>22.31</v>
      </c>
      <c r="BN11" s="25">
        <v>23.84</v>
      </c>
      <c r="BO11" s="25">
        <v>22.84</v>
      </c>
      <c r="BP11" s="25">
        <v>21.16</v>
      </c>
      <c r="BQ11" s="25">
        <v>24.04</v>
      </c>
      <c r="BR11" s="25">
        <v>24.75</v>
      </c>
      <c r="BS11" s="25">
        <v>23.61</v>
      </c>
      <c r="BT11" s="25">
        <v>23.31</v>
      </c>
      <c r="BU11" s="25">
        <v>23.69</v>
      </c>
      <c r="BV11" s="25">
        <v>23.55</v>
      </c>
      <c r="BW11" s="25">
        <v>22.37</v>
      </c>
      <c r="BX11" s="25">
        <v>22.91</v>
      </c>
      <c r="BY11" s="25">
        <v>24.03</v>
      </c>
      <c r="BZ11" s="25">
        <v>23.37</v>
      </c>
      <c r="CA11" s="25">
        <v>22.7</v>
      </c>
      <c r="CB11" s="25">
        <v>23.68</v>
      </c>
      <c r="CC11" s="25">
        <v>26.76</v>
      </c>
      <c r="CD11" s="25">
        <v>27.66</v>
      </c>
      <c r="CE11" s="25">
        <v>30.34</v>
      </c>
      <c r="CF11" s="25">
        <v>30.15</v>
      </c>
      <c r="CG11" s="25">
        <v>28.1</v>
      </c>
      <c r="CH11" s="25">
        <v>29.39</v>
      </c>
      <c r="CI11" s="25">
        <v>31.44</v>
      </c>
      <c r="CJ11" s="25">
        <v>32.43</v>
      </c>
      <c r="CK11" s="25">
        <v>30.87</v>
      </c>
      <c r="CL11" s="25">
        <v>29.85</v>
      </c>
      <c r="CM11" s="25">
        <v>32.409999999999997</v>
      </c>
      <c r="CN11" s="25">
        <v>32.21</v>
      </c>
      <c r="CO11" s="25">
        <v>33.14</v>
      </c>
      <c r="CP11" s="25">
        <v>32.86</v>
      </c>
      <c r="CQ11" s="25">
        <v>31.94</v>
      </c>
      <c r="CR11" s="25">
        <v>32.78</v>
      </c>
      <c r="CS11" s="25">
        <v>32.64</v>
      </c>
      <c r="CT11" s="25">
        <v>33.78</v>
      </c>
      <c r="CU11" s="25">
        <v>36.299999999999997</v>
      </c>
      <c r="CV11" s="25">
        <v>36.340000000000003</v>
      </c>
      <c r="CW11" s="25">
        <v>37.96</v>
      </c>
      <c r="CX11" s="25">
        <v>38.01</v>
      </c>
      <c r="CY11" s="29">
        <f t="shared" si="0"/>
        <v>0.21508399945632431</v>
      </c>
      <c r="CZ11" s="27">
        <f t="shared" si="1"/>
        <v>22.965000000000003</v>
      </c>
      <c r="DA11" s="27">
        <f t="shared" si="2"/>
        <v>6.2371421680319497</v>
      </c>
      <c r="DB11" s="30">
        <f t="shared" si="3"/>
        <v>0.2715933885491813</v>
      </c>
      <c r="DC11" s="28">
        <f t="shared" si="4"/>
        <v>2.2411556603773581</v>
      </c>
      <c r="DD11" s="28">
        <f t="shared" si="5"/>
        <v>0.10613721165897827</v>
      </c>
      <c r="DE11" s="28">
        <f t="shared" si="6"/>
        <v>0.39079453379167395</v>
      </c>
      <c r="DF11" s="19">
        <f t="shared" si="7"/>
        <v>14.4</v>
      </c>
      <c r="DG11" s="19">
        <f t="shared" si="8"/>
        <v>38.01</v>
      </c>
    </row>
    <row r="12" spans="1:112" ht="22.5" customHeight="1" thickBot="1" x14ac:dyDescent="0.4">
      <c r="A12" s="26" t="s">
        <v>93</v>
      </c>
      <c r="B12" s="22" t="s">
        <v>144</v>
      </c>
      <c r="C12" s="22">
        <v>4.55</v>
      </c>
      <c r="D12" s="22">
        <v>4.62</v>
      </c>
      <c r="E12" s="22">
        <v>4.55</v>
      </c>
      <c r="F12" s="22">
        <v>5.3</v>
      </c>
      <c r="G12" s="22">
        <v>5.9</v>
      </c>
      <c r="H12" s="22">
        <v>6.82</v>
      </c>
      <c r="I12" s="22">
        <v>7.41</v>
      </c>
      <c r="J12" s="22">
        <v>6.89</v>
      </c>
      <c r="K12" s="22">
        <v>5.82</v>
      </c>
      <c r="L12" s="22">
        <v>5.78</v>
      </c>
      <c r="M12" s="22">
        <v>5.93</v>
      </c>
      <c r="N12" s="22">
        <v>5.94</v>
      </c>
      <c r="O12" s="22">
        <v>5.98</v>
      </c>
      <c r="P12" s="22">
        <v>5.98</v>
      </c>
      <c r="Q12" s="22">
        <v>5.96</v>
      </c>
      <c r="R12" s="22">
        <v>5.53</v>
      </c>
      <c r="S12" s="22">
        <v>5.24</v>
      </c>
      <c r="T12" s="22">
        <v>5.48</v>
      </c>
      <c r="U12" s="22">
        <v>5.48</v>
      </c>
      <c r="V12" s="22">
        <v>5.33</v>
      </c>
      <c r="W12" s="22">
        <v>5.13</v>
      </c>
      <c r="X12" s="22">
        <v>5.13</v>
      </c>
      <c r="Y12" s="22">
        <v>5.13</v>
      </c>
      <c r="Z12" s="22">
        <v>4.59</v>
      </c>
      <c r="AA12" s="22">
        <v>4.18</v>
      </c>
      <c r="AB12" s="22">
        <v>3.72</v>
      </c>
      <c r="AC12" s="22">
        <v>3.36</v>
      </c>
      <c r="AD12" s="22">
        <v>3.66</v>
      </c>
      <c r="AE12" s="22">
        <v>3.73</v>
      </c>
      <c r="AF12" s="22">
        <v>3.81</v>
      </c>
      <c r="AG12" s="22">
        <v>3.83</v>
      </c>
      <c r="AH12" s="22">
        <v>4.63</v>
      </c>
      <c r="AI12" s="22">
        <v>5.43</v>
      </c>
      <c r="AJ12" s="22">
        <v>5.03</v>
      </c>
      <c r="AK12" s="22">
        <v>3.97</v>
      </c>
      <c r="AL12" s="22">
        <v>3.94</v>
      </c>
      <c r="AM12" s="22">
        <v>3.98</v>
      </c>
      <c r="AN12" s="22">
        <v>3.98</v>
      </c>
      <c r="AO12" s="22">
        <v>3.78</v>
      </c>
      <c r="AP12" s="22">
        <v>3.88</v>
      </c>
      <c r="AQ12" s="22">
        <v>3.88</v>
      </c>
      <c r="AR12" s="22">
        <v>3.98</v>
      </c>
      <c r="AS12" s="22">
        <v>4.08</v>
      </c>
      <c r="AT12" s="22">
        <v>4.05</v>
      </c>
      <c r="AU12" s="22">
        <v>3.98</v>
      </c>
      <c r="AV12" s="22">
        <v>3.98</v>
      </c>
      <c r="AW12" s="22">
        <v>3.98</v>
      </c>
      <c r="AX12" s="22">
        <v>3.98</v>
      </c>
      <c r="AY12" s="22">
        <v>3.98</v>
      </c>
      <c r="AZ12" s="22">
        <v>4.01</v>
      </c>
      <c r="BA12" s="22">
        <v>4.0999999999999996</v>
      </c>
      <c r="BB12" s="22">
        <v>4.13</v>
      </c>
      <c r="BC12" s="22">
        <v>4.13</v>
      </c>
      <c r="BD12" s="22">
        <v>4.13</v>
      </c>
      <c r="BE12" s="22">
        <v>4.13</v>
      </c>
      <c r="BF12" s="22">
        <v>4.2300000000000004</v>
      </c>
      <c r="BG12" s="22">
        <v>4.2300000000000004</v>
      </c>
      <c r="BH12" s="22">
        <v>4.2300000000000004</v>
      </c>
      <c r="BI12" s="22">
        <v>4.2300000000000004</v>
      </c>
      <c r="BJ12" s="22">
        <v>4.17</v>
      </c>
      <c r="BK12" s="22">
        <v>4.03</v>
      </c>
      <c r="BL12" s="22">
        <v>4.07</v>
      </c>
      <c r="BM12" s="22">
        <v>4.08</v>
      </c>
      <c r="BN12" s="22">
        <v>4.08</v>
      </c>
      <c r="BO12" s="22">
        <v>4.08</v>
      </c>
      <c r="BP12" s="22">
        <v>4.08</v>
      </c>
      <c r="BQ12" s="22">
        <v>4.0999999999999996</v>
      </c>
      <c r="BR12" s="22">
        <v>4.28</v>
      </c>
      <c r="BS12" s="22">
        <v>4.0199999999999996</v>
      </c>
      <c r="BT12" s="22">
        <v>3.82</v>
      </c>
      <c r="BU12" s="22">
        <v>3.63</v>
      </c>
      <c r="BV12" s="22">
        <v>3.58</v>
      </c>
      <c r="BW12" s="22">
        <v>3.56</v>
      </c>
      <c r="BX12" s="22">
        <v>3.55</v>
      </c>
      <c r="BY12" s="22">
        <v>3.52</v>
      </c>
      <c r="BZ12" s="22">
        <v>3.48</v>
      </c>
      <c r="CA12" s="22">
        <v>3.52</v>
      </c>
      <c r="CB12" s="22">
        <v>3.52</v>
      </c>
      <c r="CC12" s="22">
        <v>3.53</v>
      </c>
      <c r="CD12" s="22">
        <v>3.54</v>
      </c>
      <c r="CE12" s="22">
        <v>3.54</v>
      </c>
      <c r="CF12" s="22">
        <v>3.85</v>
      </c>
      <c r="CG12" s="22">
        <v>4.1399999999999997</v>
      </c>
      <c r="CH12" s="22">
        <v>3.94</v>
      </c>
      <c r="CI12" s="22">
        <v>3.73</v>
      </c>
      <c r="CJ12" s="22">
        <v>3.71</v>
      </c>
      <c r="CK12" s="22">
        <v>3.28</v>
      </c>
      <c r="CL12" s="22">
        <v>2.98</v>
      </c>
      <c r="CM12" s="22">
        <v>3.01</v>
      </c>
      <c r="CN12" s="22">
        <v>3.03</v>
      </c>
      <c r="CO12" s="22">
        <v>3.04</v>
      </c>
      <c r="CP12" s="22">
        <v>3.03</v>
      </c>
      <c r="CQ12" s="22">
        <v>2.99</v>
      </c>
      <c r="CR12" s="22">
        <v>3</v>
      </c>
      <c r="CS12" s="22">
        <v>3.12</v>
      </c>
      <c r="CT12" s="22">
        <v>3.18</v>
      </c>
      <c r="CU12" s="22">
        <v>3.18</v>
      </c>
      <c r="CV12" s="22">
        <v>3.18</v>
      </c>
      <c r="CW12" s="22">
        <v>3.22</v>
      </c>
      <c r="CX12" s="22">
        <v>3.27</v>
      </c>
      <c r="CY12" s="27">
        <f t="shared" si="0"/>
        <v>-0.2779858733261748</v>
      </c>
      <c r="CZ12" s="27">
        <f t="shared" si="1"/>
        <v>4.2347999999999981</v>
      </c>
      <c r="DA12" s="27">
        <f t="shared" si="2"/>
        <v>0.93863158508824973</v>
      </c>
      <c r="DB12" s="28">
        <f t="shared" si="3"/>
        <v>0.22164720531979082</v>
      </c>
      <c r="DC12" s="28">
        <f t="shared" si="4"/>
        <v>0.71868131868131868</v>
      </c>
      <c r="DD12" s="28">
        <f t="shared" si="5"/>
        <v>-4.0451248938750406E-2</v>
      </c>
      <c r="DE12" s="28">
        <f t="shared" si="6"/>
        <v>-0.18250286025663021</v>
      </c>
      <c r="DF12" s="19">
        <f t="shared" si="7"/>
        <v>2.98</v>
      </c>
      <c r="DG12" s="19">
        <f t="shared" si="8"/>
        <v>7.41</v>
      </c>
    </row>
    <row r="13" spans="1:112" ht="15" thickBot="1" x14ac:dyDescent="0.4">
      <c r="A13" s="26" t="s">
        <v>95</v>
      </c>
      <c r="B13" s="25" t="s">
        <v>145</v>
      </c>
      <c r="C13" s="25">
        <v>0.88</v>
      </c>
      <c r="D13" s="25">
        <v>0.86</v>
      </c>
      <c r="E13" s="25">
        <v>0.83</v>
      </c>
      <c r="F13" s="25">
        <v>0.93</v>
      </c>
      <c r="G13" s="25">
        <v>0.92</v>
      </c>
      <c r="H13" s="25">
        <v>0.92</v>
      </c>
      <c r="I13" s="25">
        <v>0.77</v>
      </c>
      <c r="J13" s="25">
        <v>0.78</v>
      </c>
      <c r="K13" s="25">
        <v>0.76</v>
      </c>
      <c r="L13" s="25">
        <v>0.75</v>
      </c>
      <c r="M13" s="25">
        <v>0.77</v>
      </c>
      <c r="N13" s="25">
        <v>0.79</v>
      </c>
      <c r="O13" s="25">
        <v>0.82</v>
      </c>
      <c r="P13" s="25">
        <v>0.87</v>
      </c>
      <c r="Q13" s="25">
        <v>0.88</v>
      </c>
      <c r="R13" s="25">
        <v>0.88</v>
      </c>
      <c r="S13" s="25">
        <v>0.88</v>
      </c>
      <c r="T13" s="25">
        <v>0.88</v>
      </c>
      <c r="U13" s="25">
        <v>0.88</v>
      </c>
      <c r="V13" s="25">
        <v>1.32</v>
      </c>
      <c r="W13" s="25">
        <v>1.49</v>
      </c>
      <c r="X13" s="25">
        <v>1.76</v>
      </c>
      <c r="Y13" s="25">
        <v>1.58</v>
      </c>
      <c r="Z13" s="25">
        <v>1.28</v>
      </c>
      <c r="AA13" s="25">
        <v>1.31</v>
      </c>
      <c r="AB13" s="25">
        <v>1.19</v>
      </c>
      <c r="AC13" s="25">
        <v>1.28</v>
      </c>
      <c r="AD13" s="25">
        <v>1.34</v>
      </c>
      <c r="AE13" s="25">
        <v>1.28</v>
      </c>
      <c r="AF13" s="25">
        <v>1.28</v>
      </c>
      <c r="AG13" s="25">
        <v>1.21</v>
      </c>
      <c r="AH13" s="25">
        <v>1.23</v>
      </c>
      <c r="AI13" s="25">
        <v>1.46</v>
      </c>
      <c r="AJ13" s="25">
        <v>1.53</v>
      </c>
      <c r="AK13" s="25">
        <v>1.7</v>
      </c>
      <c r="AL13" s="25">
        <v>1.88</v>
      </c>
      <c r="AM13" s="25">
        <v>1.76</v>
      </c>
      <c r="AN13" s="25">
        <v>1.77</v>
      </c>
      <c r="AO13" s="25">
        <v>2.11</v>
      </c>
      <c r="AP13" s="25">
        <v>2.52</v>
      </c>
      <c r="AQ13" s="25">
        <v>2.46</v>
      </c>
      <c r="AR13" s="25">
        <v>2.59</v>
      </c>
      <c r="AS13" s="25">
        <v>2.54</v>
      </c>
      <c r="AT13" s="25">
        <v>3.06</v>
      </c>
      <c r="AU13" s="25">
        <v>3.15</v>
      </c>
      <c r="AV13" s="25">
        <v>3.35</v>
      </c>
      <c r="AW13" s="25">
        <v>2.82</v>
      </c>
      <c r="AX13" s="25">
        <v>2.06</v>
      </c>
      <c r="AY13" s="25">
        <v>1.69</v>
      </c>
      <c r="AZ13" s="25">
        <v>1.53</v>
      </c>
      <c r="BA13" s="25">
        <v>1.48</v>
      </c>
      <c r="BB13" s="25">
        <v>1.83</v>
      </c>
      <c r="BC13" s="25">
        <v>2.11</v>
      </c>
      <c r="BD13" s="25">
        <v>2.1800000000000002</v>
      </c>
      <c r="BE13" s="25">
        <v>2.31</v>
      </c>
      <c r="BF13" s="25">
        <v>2.09</v>
      </c>
      <c r="BG13" s="25">
        <v>2.0299999999999998</v>
      </c>
      <c r="BH13" s="25">
        <v>1.68</v>
      </c>
      <c r="BI13" s="25">
        <v>1.54</v>
      </c>
      <c r="BJ13" s="25">
        <v>1.45</v>
      </c>
      <c r="BK13" s="25">
        <v>1.39</v>
      </c>
      <c r="BL13" s="25">
        <v>1.27</v>
      </c>
      <c r="BM13" s="25">
        <v>1.52</v>
      </c>
      <c r="BN13" s="25">
        <v>1.73</v>
      </c>
      <c r="BO13" s="25">
        <v>1.86</v>
      </c>
      <c r="BP13" s="25">
        <v>1.91</v>
      </c>
      <c r="BQ13" s="25">
        <v>1.81</v>
      </c>
      <c r="BR13" s="25">
        <v>1.57</v>
      </c>
      <c r="BS13" s="25">
        <v>1.57</v>
      </c>
      <c r="BT13" s="25">
        <v>1.64</v>
      </c>
      <c r="BU13" s="25">
        <v>1.6</v>
      </c>
      <c r="BV13" s="25">
        <v>1.72</v>
      </c>
      <c r="BW13" s="25">
        <v>1.77</v>
      </c>
      <c r="BX13" s="25">
        <v>1.85</v>
      </c>
      <c r="BY13" s="25">
        <v>2</v>
      </c>
      <c r="BZ13" s="25">
        <v>2.04</v>
      </c>
      <c r="CA13" s="25">
        <v>1.96</v>
      </c>
      <c r="CB13" s="25">
        <v>1.71</v>
      </c>
      <c r="CC13" s="25">
        <v>1.55</v>
      </c>
      <c r="CD13" s="25">
        <v>1.72</v>
      </c>
      <c r="CE13" s="25">
        <v>1.66</v>
      </c>
      <c r="CF13" s="25">
        <v>1.57</v>
      </c>
      <c r="CG13" s="25">
        <v>1.45</v>
      </c>
      <c r="CH13" s="25">
        <v>1.36</v>
      </c>
      <c r="CI13" s="25">
        <v>1.45</v>
      </c>
      <c r="CJ13" s="25">
        <v>1.48</v>
      </c>
      <c r="CK13" s="25">
        <v>1.52</v>
      </c>
      <c r="CL13" s="25">
        <v>1.44</v>
      </c>
      <c r="CM13" s="25">
        <v>1.57</v>
      </c>
      <c r="CN13" s="25">
        <v>1.54</v>
      </c>
      <c r="CO13" s="25">
        <v>1.48</v>
      </c>
      <c r="CP13" s="25">
        <v>1.49</v>
      </c>
      <c r="CQ13" s="25">
        <v>1.43</v>
      </c>
      <c r="CR13" s="25">
        <v>1.44</v>
      </c>
      <c r="CS13" s="25">
        <v>1.45</v>
      </c>
      <c r="CT13" s="25">
        <v>1.42</v>
      </c>
      <c r="CU13" s="25">
        <v>1.36</v>
      </c>
      <c r="CV13" s="25">
        <v>1.35</v>
      </c>
      <c r="CW13" s="25">
        <v>1.44</v>
      </c>
      <c r="CX13" s="25">
        <v>1.48</v>
      </c>
      <c r="CY13" s="29">
        <f t="shared" si="0"/>
        <v>0.47920465539142787</v>
      </c>
      <c r="CZ13" s="27">
        <f t="shared" si="1"/>
        <v>1.5584999999999993</v>
      </c>
      <c r="DA13" s="27">
        <f t="shared" si="2"/>
        <v>0.533093459314254</v>
      </c>
      <c r="DB13" s="30">
        <f t="shared" si="3"/>
        <v>0.34205547597963054</v>
      </c>
      <c r="DC13" s="28">
        <f t="shared" si="4"/>
        <v>1.6818181818181819</v>
      </c>
      <c r="DD13" s="28">
        <f t="shared" si="5"/>
        <v>6.7142411420136661E-2</v>
      </c>
      <c r="DE13" s="28">
        <f t="shared" si="6"/>
        <v>0.19629099995503363</v>
      </c>
      <c r="DF13" s="19">
        <f t="shared" si="7"/>
        <v>0.75</v>
      </c>
      <c r="DG13" s="19">
        <f t="shared" si="8"/>
        <v>3.35</v>
      </c>
    </row>
    <row r="14" spans="1:112" ht="24" customHeight="1" thickBot="1" x14ac:dyDescent="0.4">
      <c r="A14" s="26" t="s">
        <v>97</v>
      </c>
      <c r="B14" s="22" t="s">
        <v>146</v>
      </c>
      <c r="C14" s="22">
        <v>5.14</v>
      </c>
      <c r="D14" s="22">
        <v>3.71</v>
      </c>
      <c r="E14" s="22">
        <v>3.27</v>
      </c>
      <c r="F14" s="22">
        <v>3.46</v>
      </c>
      <c r="G14" s="22">
        <v>4.1399999999999997</v>
      </c>
      <c r="H14" s="22">
        <v>4.41</v>
      </c>
      <c r="I14" s="22">
        <v>4.3899999999999997</v>
      </c>
      <c r="J14" s="22">
        <v>4.08</v>
      </c>
      <c r="K14" s="22">
        <v>3.85</v>
      </c>
      <c r="L14" s="22">
        <v>3.87</v>
      </c>
      <c r="M14" s="22">
        <v>3.53</v>
      </c>
      <c r="N14" s="22">
        <v>3.41</v>
      </c>
      <c r="O14" s="22">
        <v>3.68</v>
      </c>
      <c r="P14" s="22">
        <v>3.87</v>
      </c>
      <c r="Q14" s="22">
        <v>4.22</v>
      </c>
      <c r="R14" s="22">
        <v>4.16</v>
      </c>
      <c r="S14" s="22">
        <v>4.17</v>
      </c>
      <c r="T14" s="22">
        <v>4.49</v>
      </c>
      <c r="U14" s="22">
        <v>4.08</v>
      </c>
      <c r="V14" s="22">
        <v>3.97</v>
      </c>
      <c r="W14" s="22">
        <v>3.83</v>
      </c>
      <c r="X14" s="22">
        <v>3.22</v>
      </c>
      <c r="Y14" s="22">
        <v>2.85</v>
      </c>
      <c r="Z14" s="22">
        <v>2.83</v>
      </c>
      <c r="AA14" s="22">
        <v>2.86</v>
      </c>
      <c r="AB14" s="22">
        <v>2.71</v>
      </c>
      <c r="AC14" s="22">
        <v>2.5099999999999998</v>
      </c>
      <c r="AD14" s="22">
        <v>2.5099999999999998</v>
      </c>
      <c r="AE14" s="22">
        <v>2.56</v>
      </c>
      <c r="AF14" s="22">
        <v>2.4500000000000002</v>
      </c>
      <c r="AG14" s="22">
        <v>2.1800000000000002</v>
      </c>
      <c r="AH14" s="22">
        <v>2.4300000000000002</v>
      </c>
      <c r="AI14" s="22">
        <v>2.65</v>
      </c>
      <c r="AJ14" s="22">
        <v>2.57</v>
      </c>
      <c r="AK14" s="22">
        <v>2.2000000000000002</v>
      </c>
      <c r="AL14" s="22">
        <v>2.25</v>
      </c>
      <c r="AM14" s="22">
        <v>2.34</v>
      </c>
      <c r="AN14" s="22">
        <v>2.2999999999999998</v>
      </c>
      <c r="AO14" s="22">
        <v>2.2799999999999998</v>
      </c>
      <c r="AP14" s="22">
        <v>2.42</v>
      </c>
      <c r="AQ14" s="22">
        <v>2.89</v>
      </c>
      <c r="AR14" s="22">
        <v>3.53</v>
      </c>
      <c r="AS14" s="22">
        <v>3.48</v>
      </c>
      <c r="AT14" s="22">
        <v>3.24</v>
      </c>
      <c r="AU14" s="22">
        <v>3.28</v>
      </c>
      <c r="AV14" s="22">
        <v>3.39</v>
      </c>
      <c r="AW14" s="22">
        <v>3.39</v>
      </c>
      <c r="AX14" s="22">
        <v>3.39</v>
      </c>
      <c r="AY14" s="22">
        <v>3.39</v>
      </c>
      <c r="AZ14" s="22">
        <v>3.39</v>
      </c>
      <c r="BA14" s="22">
        <v>3.39</v>
      </c>
      <c r="BB14" s="22">
        <v>3.39</v>
      </c>
      <c r="BC14" s="22">
        <v>3.45</v>
      </c>
      <c r="BD14" s="22">
        <v>4.17</v>
      </c>
      <c r="BE14" s="22">
        <v>4.6500000000000004</v>
      </c>
      <c r="BF14" s="22">
        <v>5.76</v>
      </c>
      <c r="BG14" s="22">
        <v>5.89</v>
      </c>
      <c r="BH14" s="22">
        <v>5.65</v>
      </c>
      <c r="BI14" s="22">
        <v>4.62</v>
      </c>
      <c r="BJ14" s="22">
        <v>3.74</v>
      </c>
      <c r="BK14" s="22">
        <v>3.84</v>
      </c>
      <c r="BL14" s="22">
        <v>4.04</v>
      </c>
      <c r="BM14" s="22">
        <v>3.92</v>
      </c>
      <c r="BN14" s="22">
        <v>4.3499999999999996</v>
      </c>
      <c r="BO14" s="22">
        <v>5.03</v>
      </c>
      <c r="BP14" s="22">
        <v>5.18</v>
      </c>
      <c r="BQ14" s="22">
        <v>5.08</v>
      </c>
      <c r="BR14" s="22">
        <v>5.29</v>
      </c>
      <c r="BS14" s="22">
        <v>5.9</v>
      </c>
      <c r="BT14" s="22">
        <v>6.13</v>
      </c>
      <c r="BU14" s="22">
        <v>6.1</v>
      </c>
      <c r="BV14" s="22">
        <v>6.21</v>
      </c>
      <c r="BW14" s="22">
        <v>6.37</v>
      </c>
      <c r="BX14" s="22">
        <v>6.35</v>
      </c>
      <c r="BY14" s="22">
        <v>6.32</v>
      </c>
      <c r="BZ14" s="22">
        <v>6.37</v>
      </c>
      <c r="CA14" s="22">
        <v>6.37</v>
      </c>
      <c r="CB14" s="22">
        <v>6.37</v>
      </c>
      <c r="CC14" s="22">
        <v>6.37</v>
      </c>
      <c r="CD14" s="22">
        <v>6.37</v>
      </c>
      <c r="CE14" s="22">
        <v>6.37</v>
      </c>
      <c r="CF14" s="22">
        <v>6.37</v>
      </c>
      <c r="CG14" s="22">
        <v>6.37</v>
      </c>
      <c r="CH14" s="22">
        <v>6.37</v>
      </c>
      <c r="CI14" s="22">
        <v>6.37</v>
      </c>
      <c r="CJ14" s="22">
        <v>6.37</v>
      </c>
      <c r="CK14" s="22">
        <v>6.37</v>
      </c>
      <c r="CL14" s="22">
        <v>6.37</v>
      </c>
      <c r="CM14" s="22">
        <v>6.37</v>
      </c>
      <c r="CN14" s="22">
        <v>6.37</v>
      </c>
      <c r="CO14" s="22">
        <v>6.37</v>
      </c>
      <c r="CP14" s="22">
        <v>6.37</v>
      </c>
      <c r="CQ14" s="22">
        <v>6.37</v>
      </c>
      <c r="CR14" s="22">
        <v>6.37</v>
      </c>
      <c r="CS14" s="22">
        <v>6.37</v>
      </c>
      <c r="CT14" s="22">
        <v>6.37</v>
      </c>
      <c r="CU14" s="22">
        <v>6.37</v>
      </c>
      <c r="CV14" s="22">
        <v>6.37</v>
      </c>
      <c r="CW14" s="22">
        <v>6.37</v>
      </c>
      <c r="CX14" s="22">
        <v>6.37</v>
      </c>
      <c r="CY14" s="27">
        <f t="shared" si="0"/>
        <v>0.18136222317656128</v>
      </c>
      <c r="CZ14" s="27">
        <f t="shared" si="1"/>
        <v>4.4929000000000006</v>
      </c>
      <c r="DA14" s="27">
        <f t="shared" si="2"/>
        <v>1.4820169814591659</v>
      </c>
      <c r="DB14" s="28">
        <f t="shared" si="3"/>
        <v>0.32985754890141461</v>
      </c>
      <c r="DC14" s="28">
        <f t="shared" si="4"/>
        <v>1.2392996108949417</v>
      </c>
      <c r="DD14" s="28">
        <f t="shared" si="5"/>
        <v>2.7181145722963596E-2</v>
      </c>
      <c r="DE14" s="28">
        <f t="shared" si="6"/>
        <v>8.2402679015502217E-2</v>
      </c>
      <c r="DF14" s="19">
        <f t="shared" si="7"/>
        <v>2.1800000000000002</v>
      </c>
      <c r="DG14" s="19">
        <f t="shared" si="8"/>
        <v>6.37</v>
      </c>
    </row>
    <row r="15" spans="1:112" ht="23.25" customHeight="1" x14ac:dyDescent="0.35">
      <c r="A15" s="26" t="s">
        <v>91</v>
      </c>
      <c r="B15" s="26" t="s">
        <v>147</v>
      </c>
      <c r="C15" s="23">
        <v>10.38</v>
      </c>
      <c r="D15" s="23">
        <v>10.46</v>
      </c>
      <c r="E15" s="23">
        <v>10.54</v>
      </c>
      <c r="F15" s="23">
        <v>10.59</v>
      </c>
      <c r="G15" s="23">
        <v>10.81</v>
      </c>
      <c r="H15" s="23">
        <v>10.79</v>
      </c>
      <c r="I15" s="23">
        <v>10.83</v>
      </c>
      <c r="J15" s="23">
        <v>10.61</v>
      </c>
      <c r="K15" s="23">
        <v>10.3</v>
      </c>
      <c r="L15" s="23">
        <v>9.85</v>
      </c>
      <c r="M15" s="23">
        <v>9.51</v>
      </c>
      <c r="N15" s="23">
        <v>9.48</v>
      </c>
      <c r="O15" s="23">
        <v>9.3800000000000008</v>
      </c>
      <c r="P15" s="23">
        <v>9.31</v>
      </c>
      <c r="Q15" s="23">
        <v>9.32</v>
      </c>
      <c r="R15" s="23">
        <v>9.35</v>
      </c>
      <c r="S15" s="23">
        <v>9.42</v>
      </c>
      <c r="T15" s="23">
        <v>9.4499999999999993</v>
      </c>
      <c r="U15" s="23">
        <v>9.49</v>
      </c>
      <c r="V15" s="23">
        <v>9.51</v>
      </c>
      <c r="W15" s="23">
        <v>9.5399999999999991</v>
      </c>
      <c r="X15" s="23">
        <v>9.7799999999999994</v>
      </c>
      <c r="Y15" s="23">
        <v>9.9700000000000006</v>
      </c>
      <c r="Z15" s="23">
        <v>9.76</v>
      </c>
      <c r="AA15" s="23">
        <v>10.17</v>
      </c>
      <c r="AB15" s="23">
        <v>10.45</v>
      </c>
      <c r="AC15" s="23">
        <v>10.67</v>
      </c>
      <c r="AD15" s="23">
        <v>10.84</v>
      </c>
      <c r="AE15" s="23">
        <v>10.52</v>
      </c>
      <c r="AF15" s="23">
        <v>10.52</v>
      </c>
      <c r="AG15" s="23">
        <v>10.28</v>
      </c>
      <c r="AH15" s="23">
        <v>9.94</v>
      </c>
      <c r="AI15" s="23">
        <v>9.6999999999999993</v>
      </c>
      <c r="AJ15" s="23">
        <v>9.3800000000000008</v>
      </c>
      <c r="AK15" s="23">
        <v>9.06</v>
      </c>
      <c r="AL15" s="23">
        <v>9.0500000000000007</v>
      </c>
      <c r="AM15" s="23">
        <v>8.98</v>
      </c>
      <c r="AN15" s="23">
        <v>8.98</v>
      </c>
      <c r="AO15" s="23">
        <v>9.24</v>
      </c>
      <c r="AP15" s="23">
        <v>9.8000000000000007</v>
      </c>
      <c r="AQ15" s="23">
        <v>11.1</v>
      </c>
      <c r="AR15" s="23">
        <v>11.52</v>
      </c>
      <c r="AS15" s="23">
        <v>11.88</v>
      </c>
      <c r="AT15" s="23">
        <v>12.68</v>
      </c>
      <c r="AU15" s="23">
        <v>13.18</v>
      </c>
      <c r="AV15" s="23">
        <v>13.19</v>
      </c>
      <c r="AW15" s="23">
        <v>13.08</v>
      </c>
      <c r="AX15" s="23">
        <v>13.15</v>
      </c>
      <c r="AY15" s="23">
        <v>13.42</v>
      </c>
      <c r="AZ15" s="23">
        <v>14.25</v>
      </c>
      <c r="BA15" s="23">
        <v>15.42</v>
      </c>
      <c r="BB15" s="23">
        <v>15.6</v>
      </c>
      <c r="BC15" s="23">
        <v>15.78</v>
      </c>
      <c r="BD15" s="23">
        <v>16.12</v>
      </c>
      <c r="BE15" s="23">
        <v>16.47</v>
      </c>
      <c r="BF15" s="23">
        <v>16.829999999999998</v>
      </c>
      <c r="BG15" s="23">
        <v>17.27</v>
      </c>
      <c r="BH15" s="23">
        <v>17.16</v>
      </c>
      <c r="BI15" s="23">
        <v>16.22</v>
      </c>
      <c r="BJ15" s="23">
        <v>15.33</v>
      </c>
      <c r="BK15" s="23">
        <v>14.32</v>
      </c>
      <c r="BL15" s="23">
        <v>14.09</v>
      </c>
      <c r="BM15" s="23">
        <v>14.2</v>
      </c>
      <c r="BN15" s="23">
        <v>14.74</v>
      </c>
      <c r="BO15" s="23">
        <v>14.73</v>
      </c>
      <c r="BP15" s="23">
        <v>14.73</v>
      </c>
      <c r="BQ15" s="23">
        <v>14.86</v>
      </c>
      <c r="BR15" s="23">
        <v>14.9</v>
      </c>
      <c r="BS15" s="23">
        <v>13.66</v>
      </c>
      <c r="BT15" s="23">
        <v>12.79</v>
      </c>
      <c r="BU15" s="23">
        <v>12.66</v>
      </c>
      <c r="BV15" s="23">
        <v>12.4</v>
      </c>
      <c r="BW15" s="23">
        <v>12.18</v>
      </c>
      <c r="BX15" s="23">
        <v>12.03</v>
      </c>
      <c r="BY15" s="23">
        <v>12.19</v>
      </c>
      <c r="BZ15" s="23">
        <v>12.24</v>
      </c>
      <c r="CA15" s="23">
        <v>12.3</v>
      </c>
      <c r="CB15" s="23">
        <v>12.21</v>
      </c>
      <c r="CC15" s="23">
        <v>12.13</v>
      </c>
      <c r="CD15" s="23">
        <v>12.18</v>
      </c>
      <c r="CE15" s="23">
        <v>12.28</v>
      </c>
      <c r="CF15" s="23">
        <v>11.94</v>
      </c>
      <c r="CG15" s="23">
        <v>11.79</v>
      </c>
      <c r="CH15" s="23">
        <v>11.7</v>
      </c>
      <c r="CI15" s="23">
        <v>11.64</v>
      </c>
      <c r="CJ15" s="23">
        <v>11.12</v>
      </c>
      <c r="CK15" s="23">
        <v>10.67</v>
      </c>
      <c r="CL15" s="23">
        <v>10.65</v>
      </c>
      <c r="CM15" s="23">
        <v>10.74</v>
      </c>
      <c r="CN15" s="23">
        <v>10.74</v>
      </c>
      <c r="CO15" s="23">
        <v>10.77</v>
      </c>
      <c r="CP15" s="23">
        <v>10.72</v>
      </c>
      <c r="CQ15" s="23">
        <v>10.67</v>
      </c>
      <c r="CR15" s="23">
        <v>10.71</v>
      </c>
      <c r="CS15" s="23">
        <v>10.81</v>
      </c>
      <c r="CT15" s="23">
        <v>10.84</v>
      </c>
      <c r="CU15" s="23">
        <v>10.86</v>
      </c>
      <c r="CV15" s="23">
        <v>10.87</v>
      </c>
      <c r="CW15" s="23">
        <v>10.28</v>
      </c>
      <c r="CX15" s="23">
        <v>9.77</v>
      </c>
      <c r="CY15" s="27">
        <f t="shared" si="0"/>
        <v>0.87161538014646933</v>
      </c>
      <c r="CZ15" s="27">
        <f t="shared" si="1"/>
        <v>11.707699999999997</v>
      </c>
      <c r="DA15" s="27">
        <f t="shared" si="2"/>
        <v>2.1639483437327143</v>
      </c>
      <c r="DB15" s="28">
        <f t="shared" si="3"/>
        <v>0.1848312088397136</v>
      </c>
      <c r="DC15" s="28">
        <f t="shared" si="4"/>
        <v>0.94123314065510588</v>
      </c>
      <c r="DD15" s="28">
        <f t="shared" si="5"/>
        <v>-7.5419670144982742E-3</v>
      </c>
      <c r="DE15" s="28">
        <f t="shared" si="6"/>
        <v>-4.0804618775386034E-2</v>
      </c>
      <c r="DF15" s="19">
        <f t="shared" si="7"/>
        <v>8.98</v>
      </c>
      <c r="DG15" s="19">
        <f t="shared" si="8"/>
        <v>17.27</v>
      </c>
    </row>
    <row r="32" spans="101:101" x14ac:dyDescent="0.35">
      <c r="CW32" t="s">
        <v>149</v>
      </c>
    </row>
    <row r="33" spans="100:101" x14ac:dyDescent="0.35">
      <c r="CW33" t="s">
        <v>150</v>
      </c>
    </row>
    <row r="34" spans="100:101" x14ac:dyDescent="0.35">
      <c r="CW34" t="s">
        <v>151</v>
      </c>
    </row>
    <row r="35" spans="100:101" x14ac:dyDescent="0.35">
      <c r="CW35" t="s">
        <v>153</v>
      </c>
    </row>
    <row r="36" spans="100:101" x14ac:dyDescent="0.35">
      <c r="CW36" t="s">
        <v>152</v>
      </c>
    </row>
    <row r="38" spans="100:101" x14ac:dyDescent="0.35">
      <c r="CV38" t="s">
        <v>155</v>
      </c>
    </row>
    <row r="39" spans="100:101" x14ac:dyDescent="0.35">
      <c r="CV39" t="s">
        <v>154</v>
      </c>
    </row>
    <row r="40" spans="100:101" x14ac:dyDescent="0.35">
      <c r="CV40" t="s">
        <v>156</v>
      </c>
    </row>
  </sheetData>
  <pageMargins left="0.7" right="0.7" top="0.75" bottom="0.75" header="0.3" footer="0.3"/>
  <pageSetup paperSize="9" scale="26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D8A6-86E1-4BF2-82B7-7EB3A849F2B9}">
  <sheetPr>
    <pageSetUpPr fitToPage="1"/>
  </sheetPr>
  <dimension ref="A1:DQ40"/>
  <sheetViews>
    <sheetView tabSelected="1" topLeftCell="A13" zoomScaleNormal="100" workbookViewId="0">
      <pane xSplit="1" topLeftCell="CY1" activePane="topRight" state="frozen"/>
      <selection activeCell="A2" sqref="A2"/>
      <selection pane="topRight" activeCell="DJ4" sqref="DJ4"/>
    </sheetView>
  </sheetViews>
  <sheetFormatPr defaultRowHeight="14.5" x14ac:dyDescent="0.35"/>
  <cols>
    <col min="2" max="2" width="49.7265625" customWidth="1"/>
    <col min="3" max="15" width="9.90625" bestFit="1" customWidth="1"/>
    <col min="16" max="16" width="9.81640625" bestFit="1" customWidth="1"/>
    <col min="17" max="19" width="9.90625" bestFit="1" customWidth="1"/>
    <col min="20" max="20" width="8.81640625" bestFit="1" customWidth="1"/>
    <col min="21" max="21" width="9.90625" bestFit="1" customWidth="1"/>
    <col min="22" max="22" width="8.81640625" bestFit="1" customWidth="1"/>
    <col min="23" max="24" width="9.90625" bestFit="1" customWidth="1"/>
    <col min="25" max="25" width="9.81640625" bestFit="1" customWidth="1"/>
    <col min="26" max="33" width="9.90625" bestFit="1" customWidth="1"/>
    <col min="34" max="34" width="8.81640625" bestFit="1" customWidth="1"/>
    <col min="35" max="35" width="9.90625" bestFit="1" customWidth="1"/>
    <col min="36" max="36" width="8.81640625" bestFit="1" customWidth="1"/>
    <col min="37" max="38" width="9.90625" bestFit="1" customWidth="1"/>
    <col min="39" max="40" width="9.81640625" bestFit="1" customWidth="1"/>
    <col min="41" max="43" width="9.90625" bestFit="1" customWidth="1"/>
    <col min="44" max="44" width="9.81640625" bestFit="1" customWidth="1"/>
    <col min="45" max="49" width="9.90625" bestFit="1" customWidth="1"/>
    <col min="50" max="50" width="9.81640625" bestFit="1" customWidth="1"/>
    <col min="51" max="65" width="9.90625" bestFit="1" customWidth="1"/>
    <col min="66" max="66" width="8.81640625" bestFit="1" customWidth="1"/>
    <col min="67" max="68" width="9.81640625" bestFit="1" customWidth="1"/>
    <col min="69" max="69" width="9.90625" bestFit="1" customWidth="1"/>
    <col min="70" max="70" width="8.81640625" bestFit="1" customWidth="1"/>
    <col min="71" max="73" width="9.90625" bestFit="1" customWidth="1"/>
    <col min="74" max="74" width="9.81640625" bestFit="1" customWidth="1"/>
    <col min="75" max="77" width="9.90625" bestFit="1" customWidth="1"/>
    <col min="78" max="78" width="9.81640625" bestFit="1" customWidth="1"/>
    <col min="79" max="84" width="9.90625" bestFit="1" customWidth="1"/>
    <col min="85" max="85" width="8.81640625" bestFit="1" customWidth="1"/>
    <col min="86" max="88" width="9.90625" bestFit="1" customWidth="1"/>
    <col min="89" max="89" width="8.81640625" bestFit="1" customWidth="1"/>
    <col min="90" max="90" width="9.90625" bestFit="1" customWidth="1"/>
    <col min="91" max="91" width="14.26953125" customWidth="1"/>
    <col min="92" max="92" width="13.1796875" customWidth="1"/>
    <col min="93" max="93" width="13.453125" customWidth="1"/>
    <col min="94" max="94" width="12.7265625" customWidth="1"/>
    <col min="95" max="95" width="13.54296875" customWidth="1"/>
    <col min="96" max="96" width="13.7265625" customWidth="1"/>
    <col min="97" max="98" width="12.54296875" customWidth="1"/>
    <col min="99" max="99" width="13.54296875" customWidth="1"/>
    <col min="100" max="100" width="12.1796875" customWidth="1"/>
    <col min="101" max="101" width="12.54296875" customWidth="1"/>
    <col min="102" max="102" width="14" customWidth="1"/>
    <col min="103" max="103" width="10" bestFit="1" customWidth="1"/>
    <col min="104" max="105" width="13.453125" bestFit="1" customWidth="1"/>
    <col min="106" max="106" width="18" customWidth="1"/>
    <col min="107" max="107" width="10.36328125" bestFit="1" customWidth="1"/>
    <col min="108" max="108" width="19.7265625" customWidth="1"/>
    <col min="109" max="109" width="22.453125" customWidth="1"/>
    <col min="118" max="118" width="30.453125" customWidth="1"/>
  </cols>
  <sheetData>
    <row r="1" spans="1:121" ht="15" thickBot="1" x14ac:dyDescent="0.4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</row>
    <row r="2" spans="1:121" ht="39.5" thickBot="1" x14ac:dyDescent="0.4">
      <c r="A2" s="26"/>
      <c r="B2" s="20" t="s">
        <v>0</v>
      </c>
      <c r="C2" s="21">
        <v>43040</v>
      </c>
      <c r="D2" s="20" t="s">
        <v>109</v>
      </c>
      <c r="E2" s="20" t="s">
        <v>110</v>
      </c>
      <c r="F2" s="20" t="s">
        <v>111</v>
      </c>
      <c r="G2" s="20" t="s">
        <v>112</v>
      </c>
      <c r="H2" s="21">
        <v>43191</v>
      </c>
      <c r="I2" s="20" t="s">
        <v>113</v>
      </c>
      <c r="J2" s="20" t="s">
        <v>114</v>
      </c>
      <c r="K2" s="20" t="s">
        <v>115</v>
      </c>
      <c r="L2" s="20" t="s">
        <v>116</v>
      </c>
      <c r="M2" s="21">
        <v>43344</v>
      </c>
      <c r="N2" s="20" t="s">
        <v>117</v>
      </c>
      <c r="O2" s="21">
        <v>43405</v>
      </c>
      <c r="P2" s="20" t="s">
        <v>118</v>
      </c>
      <c r="Q2" s="20" t="s">
        <v>119</v>
      </c>
      <c r="R2" s="20" t="s">
        <v>120</v>
      </c>
      <c r="S2" s="20" t="s">
        <v>121</v>
      </c>
      <c r="T2" s="21">
        <v>43556</v>
      </c>
      <c r="U2" s="20" t="s">
        <v>122</v>
      </c>
      <c r="V2" s="20" t="s">
        <v>123</v>
      </c>
      <c r="W2" s="20" t="s">
        <v>124</v>
      </c>
      <c r="X2" s="20" t="s">
        <v>125</v>
      </c>
      <c r="Y2" s="21">
        <v>43709</v>
      </c>
      <c r="Z2" s="20" t="s">
        <v>126</v>
      </c>
      <c r="AA2" s="21">
        <v>43770</v>
      </c>
      <c r="AB2" s="20" t="s">
        <v>127</v>
      </c>
      <c r="AC2" s="20" t="s">
        <v>128</v>
      </c>
      <c r="AD2" s="20" t="s">
        <v>129</v>
      </c>
      <c r="AE2" s="20" t="s">
        <v>130</v>
      </c>
      <c r="AF2" s="21">
        <v>43922</v>
      </c>
      <c r="AG2" s="20" t="s">
        <v>131</v>
      </c>
      <c r="AH2" s="20" t="s">
        <v>132</v>
      </c>
      <c r="AI2" s="20" t="s">
        <v>133</v>
      </c>
      <c r="AJ2" s="20" t="s">
        <v>19</v>
      </c>
      <c r="AK2" s="21">
        <v>44075</v>
      </c>
      <c r="AL2" s="20" t="s">
        <v>20</v>
      </c>
      <c r="AM2" s="21">
        <v>44136</v>
      </c>
      <c r="AN2" s="20" t="s">
        <v>21</v>
      </c>
      <c r="AO2" s="20" t="s">
        <v>22</v>
      </c>
      <c r="AP2" s="20" t="s">
        <v>23</v>
      </c>
      <c r="AQ2" s="20" t="s">
        <v>24</v>
      </c>
      <c r="AR2" s="21">
        <v>44287</v>
      </c>
      <c r="AS2" s="20" t="s">
        <v>25</v>
      </c>
      <c r="AT2" s="20" t="s">
        <v>26</v>
      </c>
      <c r="AU2" s="20" t="s">
        <v>27</v>
      </c>
      <c r="AV2" s="20" t="s">
        <v>28</v>
      </c>
      <c r="AW2" s="21">
        <v>44440</v>
      </c>
      <c r="AX2" s="20" t="s">
        <v>29</v>
      </c>
      <c r="AY2" s="21">
        <v>44501</v>
      </c>
      <c r="AZ2" s="20" t="s">
        <v>30</v>
      </c>
      <c r="BA2" s="20" t="s">
        <v>31</v>
      </c>
      <c r="BB2" s="20" t="s">
        <v>32</v>
      </c>
      <c r="BC2" s="20" t="s">
        <v>33</v>
      </c>
      <c r="BD2" s="21">
        <v>44652</v>
      </c>
      <c r="BE2" s="20" t="s">
        <v>34</v>
      </c>
      <c r="BF2" s="20" t="s">
        <v>35</v>
      </c>
      <c r="BG2" s="20" t="s">
        <v>36</v>
      </c>
      <c r="BH2" s="20" t="s">
        <v>37</v>
      </c>
      <c r="BI2" s="21">
        <v>44805</v>
      </c>
      <c r="BJ2" s="20" t="s">
        <v>38</v>
      </c>
      <c r="BK2" s="21">
        <v>44866</v>
      </c>
      <c r="BL2" s="20" t="s">
        <v>39</v>
      </c>
      <c r="BM2" s="20" t="s">
        <v>40</v>
      </c>
      <c r="BN2" s="20" t="s">
        <v>41</v>
      </c>
      <c r="BO2" s="20" t="s">
        <v>42</v>
      </c>
      <c r="BP2" s="21">
        <v>45017</v>
      </c>
      <c r="BQ2" s="20" t="s">
        <v>43</v>
      </c>
      <c r="BR2" s="20" t="s">
        <v>44</v>
      </c>
      <c r="BS2" s="20" t="s">
        <v>45</v>
      </c>
      <c r="BT2" s="20" t="s">
        <v>46</v>
      </c>
      <c r="BU2" s="21">
        <v>45170</v>
      </c>
      <c r="BV2" s="20" t="s">
        <v>47</v>
      </c>
      <c r="BW2" s="21">
        <v>45231</v>
      </c>
      <c r="BX2" s="20" t="s">
        <v>48</v>
      </c>
      <c r="BY2" s="20" t="s">
        <v>49</v>
      </c>
      <c r="BZ2" s="20" t="s">
        <v>50</v>
      </c>
      <c r="CA2" s="20" t="s">
        <v>51</v>
      </c>
      <c r="CB2" s="21">
        <v>45383</v>
      </c>
      <c r="CC2" s="20" t="s">
        <v>52</v>
      </c>
      <c r="CD2" s="20" t="s">
        <v>53</v>
      </c>
      <c r="CE2" s="20" t="s">
        <v>54</v>
      </c>
      <c r="CF2" s="20" t="s">
        <v>55</v>
      </c>
      <c r="CG2" s="21">
        <v>45536</v>
      </c>
      <c r="CH2" s="20" t="s">
        <v>56</v>
      </c>
      <c r="CI2" s="21">
        <v>45597</v>
      </c>
      <c r="CJ2" s="20" t="s">
        <v>57</v>
      </c>
      <c r="CK2" s="20" t="s">
        <v>58</v>
      </c>
      <c r="CL2" s="20" t="s">
        <v>59</v>
      </c>
      <c r="CM2" s="20" t="s">
        <v>60</v>
      </c>
      <c r="CN2" s="20" t="s">
        <v>61</v>
      </c>
      <c r="CO2" s="20" t="s">
        <v>62</v>
      </c>
      <c r="CP2" s="20" t="s">
        <v>63</v>
      </c>
      <c r="CQ2" s="20" t="s">
        <v>64</v>
      </c>
      <c r="CR2" s="20" t="s">
        <v>65</v>
      </c>
      <c r="CS2" s="20" t="s">
        <v>66</v>
      </c>
      <c r="CT2" s="20" t="s">
        <v>67</v>
      </c>
      <c r="CU2" s="20" t="s">
        <v>68</v>
      </c>
      <c r="CV2" s="20" t="s">
        <v>69</v>
      </c>
      <c r="CW2" s="20" t="s">
        <v>70</v>
      </c>
      <c r="CX2" s="20" t="s">
        <v>134</v>
      </c>
      <c r="CY2" s="38" t="s">
        <v>71</v>
      </c>
      <c r="CZ2" s="38" t="s">
        <v>72</v>
      </c>
      <c r="DA2" s="38" t="s">
        <v>73</v>
      </c>
      <c r="DB2" s="38" t="s">
        <v>74</v>
      </c>
      <c r="DC2" s="38" t="s">
        <v>75</v>
      </c>
      <c r="DD2" s="38" t="s">
        <v>76</v>
      </c>
      <c r="DE2" s="38" t="s">
        <v>77</v>
      </c>
      <c r="DF2" s="39" t="s">
        <v>158</v>
      </c>
      <c r="DG2" s="39" t="s">
        <v>159</v>
      </c>
      <c r="DH2" s="38" t="s">
        <v>4</v>
      </c>
      <c r="DN2" t="s">
        <v>164</v>
      </c>
    </row>
    <row r="3" spans="1:121" ht="24.75" customHeight="1" thickBot="1" x14ac:dyDescent="0.4">
      <c r="A3" s="26" t="s">
        <v>148</v>
      </c>
      <c r="B3" s="22" t="s">
        <v>135</v>
      </c>
      <c r="C3" s="22">
        <v>94.8</v>
      </c>
      <c r="D3" s="22">
        <v>94.04</v>
      </c>
      <c r="E3" s="22">
        <v>95.54</v>
      </c>
      <c r="F3" s="22">
        <v>100.69</v>
      </c>
      <c r="G3" s="22">
        <v>101.86</v>
      </c>
      <c r="H3" s="22">
        <v>94.75</v>
      </c>
      <c r="I3" s="22">
        <v>89.53</v>
      </c>
      <c r="J3" s="22">
        <v>96.61</v>
      </c>
      <c r="K3" s="22">
        <v>104.65</v>
      </c>
      <c r="L3" s="22">
        <v>107.83</v>
      </c>
      <c r="M3" s="22">
        <v>104.81</v>
      </c>
      <c r="N3" s="22">
        <v>100.89</v>
      </c>
      <c r="O3" s="22">
        <v>97.9</v>
      </c>
      <c r="P3" s="22">
        <v>92.51</v>
      </c>
      <c r="Q3" s="22">
        <v>92.41</v>
      </c>
      <c r="R3" s="22">
        <v>91.8</v>
      </c>
      <c r="S3" s="22">
        <v>90.57</v>
      </c>
      <c r="T3" s="22">
        <v>88.85</v>
      </c>
      <c r="U3" s="22">
        <v>81.86</v>
      </c>
      <c r="V3" s="22">
        <v>81.48</v>
      </c>
      <c r="W3" s="22">
        <v>71.92</v>
      </c>
      <c r="X3" s="22">
        <v>72.67</v>
      </c>
      <c r="Y3" s="22">
        <v>65.790000000000006</v>
      </c>
      <c r="Z3" s="22">
        <v>64.8</v>
      </c>
      <c r="AA3" s="22">
        <v>66.27</v>
      </c>
      <c r="AB3" s="22">
        <v>66.3</v>
      </c>
      <c r="AC3" s="22">
        <v>65.930000000000007</v>
      </c>
      <c r="AD3" s="22">
        <v>66.89</v>
      </c>
      <c r="AE3" s="22">
        <v>67.08</v>
      </c>
      <c r="AF3" s="22">
        <v>65.77</v>
      </c>
      <c r="AG3" s="22">
        <v>61.11</v>
      </c>
      <c r="AH3" s="22">
        <v>52.98</v>
      </c>
      <c r="AI3" s="22">
        <v>52.16</v>
      </c>
      <c r="AJ3" s="22">
        <v>50.34</v>
      </c>
      <c r="AK3" s="22">
        <v>49.42</v>
      </c>
      <c r="AL3" s="22">
        <v>51</v>
      </c>
      <c r="AM3" s="22">
        <v>55.71</v>
      </c>
      <c r="AN3" s="22">
        <v>59.65</v>
      </c>
      <c r="AO3" s="22">
        <v>75.84</v>
      </c>
      <c r="AP3" s="22">
        <v>87.79</v>
      </c>
      <c r="AQ3" s="22">
        <v>84.47</v>
      </c>
      <c r="AR3" s="22">
        <v>86.68</v>
      </c>
      <c r="AS3" s="22">
        <v>89.74</v>
      </c>
      <c r="AT3" s="22">
        <v>100.33</v>
      </c>
      <c r="AU3" s="22">
        <v>115.35</v>
      </c>
      <c r="AV3" s="22">
        <v>130.99</v>
      </c>
      <c r="AW3" s="22">
        <v>150.03</v>
      </c>
      <c r="AX3" s="22">
        <v>161.63</v>
      </c>
      <c r="AY3" s="22">
        <v>215.01</v>
      </c>
      <c r="AZ3" s="22">
        <v>159.79</v>
      </c>
      <c r="BA3" s="22">
        <v>158.5</v>
      </c>
      <c r="BB3" s="22">
        <v>188.38</v>
      </c>
      <c r="BC3" s="22">
        <v>203.69</v>
      </c>
      <c r="BD3" s="22">
        <v>288.39999999999998</v>
      </c>
      <c r="BE3" s="22">
        <v>275.64</v>
      </c>
      <c r="BF3" s="22">
        <v>323.91000000000003</v>
      </c>
      <c r="BG3" s="22">
        <v>319</v>
      </c>
      <c r="BH3" s="22">
        <v>321.58999999999997</v>
      </c>
      <c r="BI3" s="22">
        <v>319.22000000000003</v>
      </c>
      <c r="BJ3" s="22">
        <v>330.97</v>
      </c>
      <c r="BK3" s="22">
        <v>308.2</v>
      </c>
      <c r="BL3" s="22">
        <v>281.48</v>
      </c>
      <c r="BM3" s="22">
        <v>305.20999999999998</v>
      </c>
      <c r="BN3" s="22">
        <v>277.05</v>
      </c>
      <c r="BO3" s="22">
        <v>283.08</v>
      </c>
      <c r="BP3" s="22">
        <v>265.26</v>
      </c>
      <c r="BQ3" s="22">
        <v>206.16</v>
      </c>
      <c r="BR3" s="22">
        <v>191.26</v>
      </c>
      <c r="BS3" s="22">
        <v>191.6</v>
      </c>
      <c r="BT3" s="22">
        <v>179.9</v>
      </c>
      <c r="BU3" s="22">
        <v>133.13</v>
      </c>
      <c r="BV3" s="22">
        <v>123.96</v>
      </c>
      <c r="BW3" s="22">
        <v>139.80000000000001</v>
      </c>
      <c r="BX3" s="22">
        <v>117.38</v>
      </c>
      <c r="BY3" s="22">
        <v>125.85</v>
      </c>
      <c r="BZ3" s="22">
        <v>124.95</v>
      </c>
      <c r="CA3" s="22">
        <v>109.77</v>
      </c>
      <c r="CB3" s="22">
        <v>121.13</v>
      </c>
      <c r="CC3" s="22">
        <v>114.06</v>
      </c>
      <c r="CD3" s="22">
        <v>123</v>
      </c>
      <c r="CE3" s="22">
        <v>130.44</v>
      </c>
      <c r="CF3" s="22">
        <v>115.29</v>
      </c>
      <c r="CG3" s="22">
        <v>125.15</v>
      </c>
      <c r="CH3" s="22">
        <v>131.16999999999999</v>
      </c>
      <c r="CI3" s="22">
        <v>114.43</v>
      </c>
      <c r="CJ3" s="22">
        <v>122.51</v>
      </c>
      <c r="CK3" s="22">
        <v>124.01</v>
      </c>
      <c r="CL3" s="22">
        <v>124.24</v>
      </c>
      <c r="CM3" s="22">
        <v>128.24</v>
      </c>
      <c r="CN3" s="22">
        <v>117.76</v>
      </c>
      <c r="CO3" s="22">
        <v>123.32</v>
      </c>
      <c r="CP3" s="22">
        <v>120.2</v>
      </c>
      <c r="CQ3" s="22">
        <v>121.15</v>
      </c>
      <c r="CR3" s="22">
        <v>110.38</v>
      </c>
      <c r="CS3" s="22">
        <v>100.97</v>
      </c>
      <c r="CT3" s="22">
        <v>98.61</v>
      </c>
      <c r="CU3" s="22">
        <v>107.35</v>
      </c>
      <c r="CV3" s="22">
        <v>97.65</v>
      </c>
      <c r="CW3" s="22">
        <v>102.22</v>
      </c>
      <c r="CX3" s="22">
        <v>100.69</v>
      </c>
      <c r="CY3" s="27">
        <f t="shared" ref="CY3:CY15" si="0">CORREL($C$4:$CX$4,C3:CX3)</f>
        <v>0.85321093324975461</v>
      </c>
      <c r="CZ3" s="27">
        <f t="shared" ref="CZ3:CZ15" si="1">AVERAGE(C3:CX3)</f>
        <v>132.34129999999996</v>
      </c>
      <c r="DA3" s="27">
        <f t="shared" ref="DA3:DA15" si="2">_xlfn.STDEV.S(C3:CX3)</f>
        <v>74.226869017570138</v>
      </c>
      <c r="DB3" s="28">
        <f t="shared" ref="DB3:DB15" si="3">DA3/CZ3</f>
        <v>0.56087456461112406</v>
      </c>
      <c r="DC3" s="28">
        <f>CX3/C3</f>
        <v>1.0621308016877637</v>
      </c>
      <c r="DD3" s="28">
        <f>(DC3^(1/8))-1</f>
        <v>7.563091871845673E-3</v>
      </c>
      <c r="DE3" s="28">
        <f>DD3/DB3</f>
        <v>1.348446221142058E-2</v>
      </c>
      <c r="DF3" s="19">
        <f t="shared" ref="DF3:DF15" si="4">MIN(C3:CX3)</f>
        <v>49.42</v>
      </c>
      <c r="DG3" s="19">
        <f t="shared" ref="DG3:DG15" si="5">MAX(C3:CX3)</f>
        <v>330.97</v>
      </c>
      <c r="DH3">
        <f>1/DB3</f>
        <v>1.7829298440255328</v>
      </c>
      <c r="DL3" t="s">
        <v>4</v>
      </c>
      <c r="DM3" t="s">
        <v>161</v>
      </c>
      <c r="DN3" t="s">
        <v>166</v>
      </c>
      <c r="DO3" t="s">
        <v>1</v>
      </c>
      <c r="DP3" t="s">
        <v>165</v>
      </c>
    </row>
    <row r="4" spans="1:121" ht="26.25" customHeight="1" thickBot="1" x14ac:dyDescent="0.4">
      <c r="A4" s="26" t="s">
        <v>80</v>
      </c>
      <c r="B4" s="22" t="s">
        <v>139</v>
      </c>
      <c r="C4" s="22">
        <v>10905.91</v>
      </c>
      <c r="D4" s="22">
        <v>12091.67</v>
      </c>
      <c r="E4" s="22">
        <v>11304.55</v>
      </c>
      <c r="F4" s="22">
        <v>12452.75</v>
      </c>
      <c r="G4" s="22">
        <v>13444.52</v>
      </c>
      <c r="H4" s="22">
        <v>13619.25</v>
      </c>
      <c r="I4" s="22">
        <v>13584.76</v>
      </c>
      <c r="J4" s="22">
        <v>14102.75</v>
      </c>
      <c r="K4" s="22">
        <v>15067.86</v>
      </c>
      <c r="L4" s="22">
        <v>14246.82</v>
      </c>
      <c r="M4" s="22">
        <v>13509.05</v>
      </c>
      <c r="N4" s="22">
        <v>12803.41</v>
      </c>
      <c r="O4" s="22">
        <v>12578.64</v>
      </c>
      <c r="P4" s="22">
        <v>11695</v>
      </c>
      <c r="Q4" s="22">
        <v>10890.68</v>
      </c>
      <c r="R4" s="22">
        <v>11046.05</v>
      </c>
      <c r="S4" s="22">
        <v>12249.32</v>
      </c>
      <c r="T4" s="22">
        <v>13029.5</v>
      </c>
      <c r="U4" s="22">
        <v>13000.91</v>
      </c>
      <c r="V4" s="22">
        <v>12100</v>
      </c>
      <c r="W4" s="22">
        <v>11874.77</v>
      </c>
      <c r="X4" s="22">
        <v>12832.73</v>
      </c>
      <c r="Y4" s="22">
        <v>14940</v>
      </c>
      <c r="Z4" s="22">
        <v>17176.82</v>
      </c>
      <c r="AA4" s="22">
        <v>17456.43</v>
      </c>
      <c r="AB4" s="22">
        <v>16107.27</v>
      </c>
      <c r="AC4" s="22">
        <v>13875.68</v>
      </c>
      <c r="AD4" s="22">
        <v>14029.72</v>
      </c>
      <c r="AE4" s="22">
        <v>12994.57</v>
      </c>
      <c r="AF4" s="22">
        <v>12301.19</v>
      </c>
      <c r="AG4" s="22">
        <v>11347.68</v>
      </c>
      <c r="AH4" s="22">
        <v>12085.1</v>
      </c>
      <c r="AI4" s="22">
        <v>12595.68</v>
      </c>
      <c r="AJ4" s="22">
        <v>13004.6</v>
      </c>
      <c r="AK4" s="22">
        <v>13921.87</v>
      </c>
      <c r="AL4" s="22">
        <v>15059.57</v>
      </c>
      <c r="AM4" s="22">
        <v>14732.1</v>
      </c>
      <c r="AN4" s="22">
        <v>15646.7</v>
      </c>
      <c r="AO4" s="22">
        <v>16541.57</v>
      </c>
      <c r="AP4" s="22">
        <v>17434.05</v>
      </c>
      <c r="AQ4" s="22">
        <v>18210.39</v>
      </c>
      <c r="AR4" s="22">
        <v>17251.599999999999</v>
      </c>
      <c r="AS4" s="22">
        <v>16301.95</v>
      </c>
      <c r="AT4" s="22">
        <v>17322.48</v>
      </c>
      <c r="AU4" s="22">
        <v>17650.95</v>
      </c>
      <c r="AV4" s="22">
        <v>18356.86</v>
      </c>
      <c r="AW4" s="22">
        <v>19239.259999999998</v>
      </c>
      <c r="AX4" s="22">
        <v>19499.7</v>
      </c>
      <c r="AY4" s="22">
        <v>18951.82</v>
      </c>
      <c r="AZ4" s="22">
        <v>19829.349999999999</v>
      </c>
      <c r="BA4" s="22">
        <v>20189.75</v>
      </c>
      <c r="BB4" s="22">
        <v>21113.75</v>
      </c>
      <c r="BC4" s="22">
        <v>23537.05</v>
      </c>
      <c r="BD4" s="22">
        <v>35995.300000000003</v>
      </c>
      <c r="BE4" s="22">
        <v>33415.75</v>
      </c>
      <c r="BF4" s="22">
        <v>30048.81</v>
      </c>
      <c r="BG4" s="22">
        <v>27414.47</v>
      </c>
      <c r="BH4" s="22">
        <v>22504.77</v>
      </c>
      <c r="BI4" s="22">
        <v>22059.13</v>
      </c>
      <c r="BJ4" s="22">
        <v>22081.25</v>
      </c>
      <c r="BK4" s="22">
        <v>22374.77</v>
      </c>
      <c r="BL4" s="22">
        <v>23907.73</v>
      </c>
      <c r="BM4" s="22">
        <v>27482.62</v>
      </c>
      <c r="BN4" s="22">
        <v>28444.5</v>
      </c>
      <c r="BO4" s="22">
        <v>27860</v>
      </c>
      <c r="BP4" s="22">
        <v>24227</v>
      </c>
      <c r="BQ4" s="22">
        <v>23278.57</v>
      </c>
      <c r="BR4" s="22">
        <v>23317</v>
      </c>
      <c r="BS4" s="22">
        <v>21376.75</v>
      </c>
      <c r="BT4" s="22">
        <v>20663.86</v>
      </c>
      <c r="BU4" s="22">
        <v>20827.73</v>
      </c>
      <c r="BV4" s="22">
        <v>20190</v>
      </c>
      <c r="BW4" s="22">
        <v>18563.64</v>
      </c>
      <c r="BX4" s="22">
        <v>17653.330000000002</v>
      </c>
      <c r="BY4" s="22">
        <v>16368.86</v>
      </c>
      <c r="BZ4" s="22">
        <v>16151</v>
      </c>
      <c r="CA4" s="22">
        <v>16021.67</v>
      </c>
      <c r="CB4" s="22">
        <v>17424.52</v>
      </c>
      <c r="CC4" s="22">
        <v>17472.38</v>
      </c>
      <c r="CD4" s="22">
        <v>18962.11</v>
      </c>
      <c r="CE4" s="22">
        <v>18823.86</v>
      </c>
      <c r="CF4" s="22">
        <v>16812.73</v>
      </c>
      <c r="CG4" s="22">
        <v>15908.1</v>
      </c>
      <c r="CH4" s="22">
        <v>16175.23</v>
      </c>
      <c r="CI4" s="22">
        <v>17072.14</v>
      </c>
      <c r="CJ4" s="22">
        <v>15822.95</v>
      </c>
      <c r="CK4" s="22">
        <v>15660</v>
      </c>
      <c r="CL4" s="22">
        <v>15276.11</v>
      </c>
      <c r="CM4" s="22">
        <v>15276.33</v>
      </c>
      <c r="CN4" s="22">
        <v>15534.62</v>
      </c>
      <c r="CO4" s="22">
        <v>16126.33</v>
      </c>
      <c r="CP4" s="22">
        <v>15539.69</v>
      </c>
      <c r="CQ4" s="22">
        <v>15049.23</v>
      </c>
      <c r="CR4" s="22">
        <v>15415</v>
      </c>
      <c r="CS4" s="22">
        <v>15405</v>
      </c>
      <c r="CT4" s="22">
        <v>15221</v>
      </c>
      <c r="CU4" s="22">
        <v>14942.67</v>
      </c>
      <c r="CV4" s="22">
        <v>14926</v>
      </c>
      <c r="CW4" s="22">
        <v>15028.33</v>
      </c>
      <c r="CX4" s="22">
        <v>15012.67</v>
      </c>
      <c r="CY4" s="29">
        <f t="shared" si="0"/>
        <v>0.99999999999999989</v>
      </c>
      <c r="CZ4" s="27">
        <f t="shared" si="1"/>
        <v>17182.519200000002</v>
      </c>
      <c r="DA4" s="27">
        <f t="shared" si="2"/>
        <v>4905.3350112716489</v>
      </c>
      <c r="DB4" s="30">
        <f t="shared" si="3"/>
        <v>0.28548404073784756</v>
      </c>
      <c r="DC4" s="28">
        <f t="shared" ref="DC4:DC15" si="6">CX4/C4</f>
        <v>1.376562799436269</v>
      </c>
      <c r="DD4" s="28">
        <f t="shared" ref="DD4:DD15" si="7">(DC4^(1/8))-1</f>
        <v>4.0757390699468488E-2</v>
      </c>
      <c r="DE4" s="28">
        <f>DD4/DB4</f>
        <v>0.14276591642085842</v>
      </c>
      <c r="DF4" s="19">
        <f t="shared" si="4"/>
        <v>10890.68</v>
      </c>
      <c r="DG4" s="19">
        <f t="shared" si="5"/>
        <v>35995.300000000003</v>
      </c>
      <c r="DH4">
        <f>1/DB4</f>
        <v>3.5028227757161163</v>
      </c>
      <c r="DK4" t="s">
        <v>101</v>
      </c>
      <c r="DL4">
        <f>DH10</f>
        <v>3.267836941262074</v>
      </c>
      <c r="DM4" s="2">
        <f>DL4/SUM($DL$4:$DL$8)</f>
        <v>0.21612904358030463</v>
      </c>
      <c r="DN4" s="31">
        <f>DM4*DB10</f>
        <v>6.6138258262308902E-2</v>
      </c>
      <c r="DO4" s="18">
        <f>DD10</f>
        <v>0.12750306539678213</v>
      </c>
      <c r="DP4" s="37">
        <f>SUMPRODUCT(DM4:DM7,DO4:DO7)</f>
        <v>8.3380332622767395E-2</v>
      </c>
    </row>
    <row r="5" spans="1:121" ht="24.75" customHeight="1" x14ac:dyDescent="0.35">
      <c r="A5" s="26" t="s">
        <v>78</v>
      </c>
      <c r="B5" s="23" t="s">
        <v>136</v>
      </c>
      <c r="C5" s="23">
        <v>59090.91</v>
      </c>
      <c r="D5" s="23">
        <v>60833.33</v>
      </c>
      <c r="E5" s="23">
        <v>68304.55</v>
      </c>
      <c r="F5" s="23">
        <v>76075</v>
      </c>
      <c r="G5" s="23">
        <v>80797.62</v>
      </c>
      <c r="H5" s="23">
        <v>83162.5</v>
      </c>
      <c r="I5" s="23">
        <v>92357.14</v>
      </c>
      <c r="J5" s="23">
        <v>90062.5</v>
      </c>
      <c r="K5" s="23">
        <v>86321.43</v>
      </c>
      <c r="L5" s="23">
        <v>74277.27</v>
      </c>
      <c r="M5" s="23">
        <v>65385.71</v>
      </c>
      <c r="N5" s="23">
        <v>63659.09</v>
      </c>
      <c r="O5" s="23">
        <v>59670.91</v>
      </c>
      <c r="P5" s="23">
        <v>54916.67</v>
      </c>
      <c r="Q5" s="23">
        <v>55261.36</v>
      </c>
      <c r="R5" s="23">
        <v>45973.68</v>
      </c>
      <c r="S5" s="23">
        <v>33818.18</v>
      </c>
      <c r="T5" s="23">
        <v>32250</v>
      </c>
      <c r="U5" s="23">
        <v>32320.45</v>
      </c>
      <c r="V5" s="23">
        <v>34750</v>
      </c>
      <c r="W5" s="23">
        <v>31386.36</v>
      </c>
      <c r="X5" s="23">
        <v>28527.27</v>
      </c>
      <c r="Y5" s="23">
        <v>28385.71</v>
      </c>
      <c r="Z5" s="23">
        <v>34363.64</v>
      </c>
      <c r="AA5" s="23">
        <v>36035.71</v>
      </c>
      <c r="AB5" s="23">
        <v>35500</v>
      </c>
      <c r="AC5" s="23">
        <v>34772.730000000003</v>
      </c>
      <c r="AD5" s="23">
        <v>32361.11</v>
      </c>
      <c r="AE5" s="23">
        <v>33326.089999999997</v>
      </c>
      <c r="AF5" s="23">
        <v>31928.57</v>
      </c>
      <c r="AG5" s="23">
        <v>29500</v>
      </c>
      <c r="AH5" s="23">
        <v>29500</v>
      </c>
      <c r="AI5" s="23">
        <v>29372.73</v>
      </c>
      <c r="AJ5" s="23">
        <v>28552.5</v>
      </c>
      <c r="AK5" s="23">
        <v>31008.04</v>
      </c>
      <c r="AL5" s="23">
        <v>33150.239999999998</v>
      </c>
      <c r="AM5" s="23">
        <v>33636.67</v>
      </c>
      <c r="AN5" s="23">
        <v>32583.26</v>
      </c>
      <c r="AO5" s="23">
        <v>31886.19</v>
      </c>
      <c r="AP5" s="23">
        <v>34765.53</v>
      </c>
      <c r="AQ5" s="23">
        <v>43658.91</v>
      </c>
      <c r="AR5" s="23">
        <v>52486.75</v>
      </c>
      <c r="AS5" s="23">
        <v>50770.53</v>
      </c>
      <c r="AT5" s="23">
        <v>46020.71</v>
      </c>
      <c r="AU5" s="23">
        <v>43199.519999999997</v>
      </c>
      <c r="AV5" s="23">
        <v>49102.14</v>
      </c>
      <c r="AW5" s="23">
        <v>52317.83</v>
      </c>
      <c r="AX5" s="23">
        <v>50793.25</v>
      </c>
      <c r="AY5" s="23">
        <v>53622.73</v>
      </c>
      <c r="AZ5" s="23">
        <v>57995.22</v>
      </c>
      <c r="BA5" s="23">
        <v>66505.5</v>
      </c>
      <c r="BB5" s="23">
        <v>70178.5</v>
      </c>
      <c r="BC5" s="23">
        <v>70856.820000000007</v>
      </c>
      <c r="BD5" s="23">
        <v>77743.75</v>
      </c>
      <c r="BE5" s="23">
        <v>81947</v>
      </c>
      <c r="BF5" s="23">
        <v>80382.86</v>
      </c>
      <c r="BG5" s="23">
        <v>73362.89</v>
      </c>
      <c r="BH5" s="23">
        <v>64670.45</v>
      </c>
      <c r="BI5" s="23">
        <v>49133.91</v>
      </c>
      <c r="BJ5" s="23">
        <v>51264</v>
      </c>
      <c r="BK5" s="23">
        <v>51510.68</v>
      </c>
      <c r="BL5" s="23">
        <v>51510.45</v>
      </c>
      <c r="BM5" s="23">
        <v>51494.76</v>
      </c>
      <c r="BN5" s="23">
        <v>49931.5</v>
      </c>
      <c r="BO5" s="23">
        <v>42613.81</v>
      </c>
      <c r="BP5" s="23">
        <v>33981.75</v>
      </c>
      <c r="BQ5" s="23">
        <v>34228.239999999998</v>
      </c>
      <c r="BR5" s="23">
        <v>34493</v>
      </c>
      <c r="BS5" s="23">
        <v>29965</v>
      </c>
      <c r="BT5" s="23">
        <v>31475</v>
      </c>
      <c r="BU5" s="23">
        <v>32980.449999999997</v>
      </c>
      <c r="BV5" s="23">
        <v>32980.71</v>
      </c>
      <c r="BW5" s="23">
        <v>32980.910000000003</v>
      </c>
      <c r="BX5" s="23">
        <v>32997.379999999997</v>
      </c>
      <c r="BY5" s="23">
        <v>31920</v>
      </c>
      <c r="BZ5" s="23">
        <v>28696.25</v>
      </c>
      <c r="CA5" s="23">
        <v>28493.81</v>
      </c>
      <c r="CB5" s="23">
        <v>28220</v>
      </c>
      <c r="CC5" s="23">
        <v>28215.95</v>
      </c>
      <c r="CD5" s="23">
        <v>27718.68</v>
      </c>
      <c r="CE5" s="23">
        <v>26980.91</v>
      </c>
      <c r="CF5" s="23">
        <v>26628.41</v>
      </c>
      <c r="CG5" s="23">
        <v>26031.9</v>
      </c>
      <c r="CH5" s="23">
        <v>24105</v>
      </c>
      <c r="CI5" s="23">
        <v>24184.52</v>
      </c>
      <c r="CJ5" s="23">
        <v>24275.45</v>
      </c>
      <c r="CK5" s="23">
        <v>24300</v>
      </c>
      <c r="CL5" s="23">
        <v>24300</v>
      </c>
      <c r="CM5" s="23">
        <v>21426</v>
      </c>
      <c r="CN5" s="23">
        <v>22890</v>
      </c>
      <c r="CO5" s="23">
        <v>31390</v>
      </c>
      <c r="CP5" s="23">
        <v>33710.629999999997</v>
      </c>
      <c r="CQ5" s="23">
        <v>33274.620000000003</v>
      </c>
      <c r="CR5" s="23">
        <v>33260.769999999997</v>
      </c>
      <c r="CS5" s="23">
        <v>33256.79</v>
      </c>
      <c r="CT5" s="23">
        <v>33235.33</v>
      </c>
      <c r="CU5" s="23">
        <v>32944</v>
      </c>
      <c r="CV5" s="23">
        <v>32896</v>
      </c>
      <c r="CW5" s="23">
        <v>32894.33</v>
      </c>
      <c r="CX5" s="23">
        <v>32893.33</v>
      </c>
      <c r="CY5" s="27">
        <f t="shared" si="0"/>
        <v>0.24845483980543617</v>
      </c>
      <c r="CZ5" s="27">
        <f t="shared" si="1"/>
        <v>43671.302400000022</v>
      </c>
      <c r="DA5" s="27">
        <f t="shared" si="2"/>
        <v>18105.425517124317</v>
      </c>
      <c r="DB5" s="28">
        <f t="shared" si="3"/>
        <v>0.41458405227512307</v>
      </c>
      <c r="DC5" s="28">
        <f t="shared" si="6"/>
        <v>0.55665634528221009</v>
      </c>
      <c r="DD5" s="28">
        <f t="shared" si="7"/>
        <v>-7.060914352820169E-2</v>
      </c>
      <c r="DE5" s="28">
        <f t="shared" ref="DE5:DE15" si="8">DD5/DB5</f>
        <v>-0.1703132166824029</v>
      </c>
      <c r="DF5" s="19">
        <f t="shared" si="4"/>
        <v>21426</v>
      </c>
      <c r="DG5" s="19">
        <f t="shared" si="5"/>
        <v>92357.14</v>
      </c>
      <c r="DH5">
        <f>1/DB5</f>
        <v>2.4120561186863689</v>
      </c>
      <c r="DK5" t="s">
        <v>99</v>
      </c>
      <c r="DL5">
        <f>DH11</f>
        <v>3.6819747540316716</v>
      </c>
      <c r="DM5" s="2">
        <f>DL5/SUM($DL$4:$DL$8)</f>
        <v>0.243519397197448</v>
      </c>
      <c r="DN5" s="33">
        <f>DM5*DB11</f>
        <v>6.6138258262308902E-2</v>
      </c>
      <c r="DO5" s="18">
        <f>DD11</f>
        <v>0.10613721165897827</v>
      </c>
      <c r="DP5" s="37"/>
    </row>
    <row r="6" spans="1:121" ht="22.5" customHeight="1" x14ac:dyDescent="0.35">
      <c r="A6" s="26" t="s">
        <v>88</v>
      </c>
      <c r="B6" s="24" t="s">
        <v>137</v>
      </c>
      <c r="C6" s="24">
        <v>2511.66</v>
      </c>
      <c r="D6" s="24">
        <v>2469.98</v>
      </c>
      <c r="E6" s="24">
        <v>2489.52</v>
      </c>
      <c r="F6" s="24">
        <v>2552.0300000000002</v>
      </c>
      <c r="G6" s="24">
        <v>2602.88</v>
      </c>
      <c r="H6" s="24">
        <v>2452.0500000000002</v>
      </c>
      <c r="I6" s="24">
        <v>2372.19</v>
      </c>
      <c r="J6" s="24">
        <v>2325.25</v>
      </c>
      <c r="K6" s="24">
        <v>2452.33</v>
      </c>
      <c r="L6" s="24">
        <v>2312.52</v>
      </c>
      <c r="M6" s="24">
        <v>2102.4299999999998</v>
      </c>
      <c r="N6" s="24">
        <v>2040.55</v>
      </c>
      <c r="O6" s="24">
        <v>1998.07</v>
      </c>
      <c r="P6" s="24">
        <v>1950.19</v>
      </c>
      <c r="Q6" s="24">
        <v>1948.14</v>
      </c>
      <c r="R6" s="24">
        <v>1965.18</v>
      </c>
      <c r="S6" s="24">
        <v>2053.8000000000002</v>
      </c>
      <c r="T6" s="24">
        <v>2080.6799999999998</v>
      </c>
      <c r="U6" s="24">
        <v>1977.25</v>
      </c>
      <c r="V6" s="24">
        <v>1863.53</v>
      </c>
      <c r="W6" s="24">
        <v>1847.68</v>
      </c>
      <c r="X6" s="24">
        <v>1929.11</v>
      </c>
      <c r="Y6" s="24">
        <v>2031.07</v>
      </c>
      <c r="Z6" s="24">
        <v>2066.9299999999998</v>
      </c>
      <c r="AA6" s="24">
        <v>2126.2399999999998</v>
      </c>
      <c r="AB6" s="24">
        <v>2145.1999999999998</v>
      </c>
      <c r="AC6" s="24">
        <v>1913.64</v>
      </c>
      <c r="AD6" s="24">
        <v>1920.47</v>
      </c>
      <c r="AE6" s="24">
        <v>1891.33</v>
      </c>
      <c r="AF6" s="24">
        <v>1826.38</v>
      </c>
      <c r="AG6" s="24">
        <v>1666.37</v>
      </c>
      <c r="AH6" s="24">
        <v>1614.79</v>
      </c>
      <c r="AI6" s="24">
        <v>1697.68</v>
      </c>
      <c r="AJ6" s="24">
        <v>1793.25</v>
      </c>
      <c r="AK6" s="24">
        <v>1874.8</v>
      </c>
      <c r="AL6" s="24">
        <v>1927.1</v>
      </c>
      <c r="AM6" s="24">
        <v>1799.07</v>
      </c>
      <c r="AN6" s="24">
        <v>1826</v>
      </c>
      <c r="AO6" s="24">
        <v>2044.26</v>
      </c>
      <c r="AP6" s="24">
        <v>1988.58</v>
      </c>
      <c r="AQ6" s="24">
        <v>2054.63</v>
      </c>
      <c r="AR6" s="24">
        <v>2011.18</v>
      </c>
      <c r="AS6" s="24">
        <v>1958.34</v>
      </c>
      <c r="AT6" s="24">
        <v>2128.5500000000002</v>
      </c>
      <c r="AU6" s="24">
        <v>2173.67</v>
      </c>
      <c r="AV6" s="24">
        <v>2273.14</v>
      </c>
      <c r="AW6" s="24">
        <v>2402.67</v>
      </c>
      <c r="AX6" s="24">
        <v>2369.8000000000002</v>
      </c>
      <c r="AY6" s="24">
        <v>2232.09</v>
      </c>
      <c r="AZ6" s="24">
        <v>2390</v>
      </c>
      <c r="BA6" s="24">
        <v>2300.15</v>
      </c>
      <c r="BB6" s="24">
        <v>2331.65</v>
      </c>
      <c r="BC6" s="24">
        <v>2301.02</v>
      </c>
      <c r="BD6" s="24">
        <v>2363.75</v>
      </c>
      <c r="BE6" s="24">
        <v>2392.1</v>
      </c>
      <c r="BF6" s="24">
        <v>2224.7600000000002</v>
      </c>
      <c r="BG6" s="24">
        <v>2138.9499999999998</v>
      </c>
      <c r="BH6" s="24">
        <v>1966.91</v>
      </c>
      <c r="BI6" s="24">
        <v>2082.87</v>
      </c>
      <c r="BJ6" s="24">
        <v>1935.83</v>
      </c>
      <c r="BK6" s="24">
        <v>1943.09</v>
      </c>
      <c r="BL6" s="24">
        <v>2031</v>
      </c>
      <c r="BM6" s="24">
        <v>2156.9</v>
      </c>
      <c r="BN6" s="24">
        <v>2254.7800000000002</v>
      </c>
      <c r="BO6" s="24">
        <v>2115.4</v>
      </c>
      <c r="BP6" s="24">
        <v>2096.1999999999998</v>
      </c>
      <c r="BQ6" s="24">
        <v>2143.38</v>
      </c>
      <c r="BR6" s="24">
        <v>2122.1</v>
      </c>
      <c r="BS6" s="24">
        <v>2076.4299999999998</v>
      </c>
      <c r="BT6" s="24">
        <v>2119.39</v>
      </c>
      <c r="BU6" s="24">
        <v>2132.09</v>
      </c>
      <c r="BV6" s="24">
        <v>2246.14</v>
      </c>
      <c r="BW6" s="24">
        <v>2162.1799999999998</v>
      </c>
      <c r="BX6" s="24">
        <v>2166.9299999999998</v>
      </c>
      <c r="BY6" s="24">
        <v>2096.5</v>
      </c>
      <c r="BZ6" s="24">
        <v>2046.35</v>
      </c>
      <c r="CA6" s="24">
        <v>2111.6</v>
      </c>
      <c r="CB6" s="24">
        <v>2089.4</v>
      </c>
      <c r="CC6" s="24">
        <v>2071.5500000000002</v>
      </c>
      <c r="CD6" s="24">
        <v>2181.6799999999998</v>
      </c>
      <c r="CE6" s="24">
        <v>2196.0500000000002</v>
      </c>
      <c r="CF6" s="24">
        <v>2154.9299999999998</v>
      </c>
      <c r="CG6" s="24">
        <v>1993.69</v>
      </c>
      <c r="CH6" s="24">
        <v>2008</v>
      </c>
      <c r="CI6" s="24">
        <v>2054.4299999999998</v>
      </c>
      <c r="CJ6" s="24">
        <v>1989.41</v>
      </c>
      <c r="CK6" s="24">
        <v>2012.14</v>
      </c>
      <c r="CL6" s="24">
        <v>1927.97</v>
      </c>
      <c r="CM6" s="24">
        <v>1956.43</v>
      </c>
      <c r="CN6" s="24">
        <v>1978.5</v>
      </c>
      <c r="CO6" s="24">
        <v>2041.23</v>
      </c>
      <c r="CP6" s="24">
        <v>1976.31</v>
      </c>
      <c r="CQ6" s="24">
        <v>1890.35</v>
      </c>
      <c r="CR6" s="24">
        <v>1939.08</v>
      </c>
      <c r="CS6" s="24">
        <v>1961.68</v>
      </c>
      <c r="CT6" s="24">
        <v>1954.9</v>
      </c>
      <c r="CU6" s="24">
        <v>1966.93</v>
      </c>
      <c r="CV6" s="24">
        <v>2009.27</v>
      </c>
      <c r="CW6" s="24">
        <v>1991.1</v>
      </c>
      <c r="CX6" s="24">
        <v>1969.7</v>
      </c>
      <c r="CY6" s="27">
        <f t="shared" si="0"/>
        <v>0.29633209460114929</v>
      </c>
      <c r="CZ6" s="27">
        <f t="shared" si="1"/>
        <v>2088.1742999999997</v>
      </c>
      <c r="DA6" s="27">
        <f t="shared" si="2"/>
        <v>195.55085793444889</v>
      </c>
      <c r="DB6" s="28">
        <f t="shared" si="3"/>
        <v>9.364680809185752E-2</v>
      </c>
      <c r="DC6" s="28">
        <f t="shared" si="6"/>
        <v>0.7842223867880207</v>
      </c>
      <c r="DD6" s="28">
        <f t="shared" si="7"/>
        <v>-2.9925911281795337E-2</v>
      </c>
      <c r="DE6" s="28">
        <f t="shared" si="8"/>
        <v>-0.31956146601858776</v>
      </c>
      <c r="DF6" s="19">
        <f t="shared" si="4"/>
        <v>1614.79</v>
      </c>
      <c r="DG6" s="19">
        <f t="shared" si="5"/>
        <v>2602.88</v>
      </c>
      <c r="DH6">
        <f>1/DB6</f>
        <v>10.678420550320379</v>
      </c>
      <c r="DK6" t="s">
        <v>95</v>
      </c>
      <c r="DL6">
        <f>DH13</f>
        <v>2.9235023855006204</v>
      </c>
      <c r="DM6" s="2">
        <f t="shared" ref="DM6:DM7" si="9">DL6/SUM($DL$4:$DL$8)</f>
        <v>0.19335535580271621</v>
      </c>
      <c r="DN6" s="33">
        <f>DM6*DB13</f>
        <v>6.6138258262308916E-2</v>
      </c>
      <c r="DO6" s="18">
        <f>DD13</f>
        <v>6.7142411420136661E-2</v>
      </c>
      <c r="DP6" s="37"/>
    </row>
    <row r="7" spans="1:121" ht="24" customHeight="1" thickBot="1" x14ac:dyDescent="0.4">
      <c r="A7" s="26" t="s">
        <v>82</v>
      </c>
      <c r="B7" s="23" t="s">
        <v>138</v>
      </c>
      <c r="C7" s="23">
        <v>3239.61</v>
      </c>
      <c r="D7" s="23">
        <v>3249.17</v>
      </c>
      <c r="E7" s="23">
        <v>3187.5</v>
      </c>
      <c r="F7" s="23">
        <v>3363.7</v>
      </c>
      <c r="G7" s="23">
        <v>3524.83</v>
      </c>
      <c r="H7" s="23">
        <v>3382.9</v>
      </c>
      <c r="I7" s="23">
        <v>3222.74</v>
      </c>
      <c r="J7" s="23">
        <v>3098.3</v>
      </c>
      <c r="K7" s="23">
        <v>3128.57</v>
      </c>
      <c r="L7" s="23">
        <v>2782.55</v>
      </c>
      <c r="M7" s="23">
        <v>2571.38</v>
      </c>
      <c r="N7" s="23">
        <v>2422.4299999999998</v>
      </c>
      <c r="O7" s="23">
        <v>2616.9299999999998</v>
      </c>
      <c r="P7" s="23">
        <v>2624.29</v>
      </c>
      <c r="Q7" s="23">
        <v>2631.95</v>
      </c>
      <c r="R7" s="23">
        <v>2517.7399999999998</v>
      </c>
      <c r="S7" s="23">
        <v>2666.93</v>
      </c>
      <c r="T7" s="23">
        <v>2789.5</v>
      </c>
      <c r="U7" s="23">
        <v>2940.43</v>
      </c>
      <c r="V7" s="23">
        <v>2818.39</v>
      </c>
      <c r="W7" s="23">
        <v>2649.66</v>
      </c>
      <c r="X7" s="23">
        <v>2487.86</v>
      </c>
      <c r="Y7" s="23">
        <v>2343.71</v>
      </c>
      <c r="Z7" s="23">
        <v>2295.4499999999998</v>
      </c>
      <c r="AA7" s="23">
        <v>2365.19</v>
      </c>
      <c r="AB7" s="23">
        <v>2515.34</v>
      </c>
      <c r="AC7" s="23">
        <v>2284.09</v>
      </c>
      <c r="AD7" s="23">
        <v>2349.64</v>
      </c>
      <c r="AE7" s="23">
        <v>2239.61</v>
      </c>
      <c r="AF7" s="23">
        <v>1978.31</v>
      </c>
      <c r="AG7" s="23">
        <v>1866.11</v>
      </c>
      <c r="AH7" s="23">
        <v>1934.31</v>
      </c>
      <c r="AI7" s="23">
        <v>1997.07</v>
      </c>
      <c r="AJ7" s="23">
        <v>2088.7800000000002</v>
      </c>
      <c r="AK7" s="23">
        <v>2310.7399999999998</v>
      </c>
      <c r="AL7" s="23">
        <v>2467.2399999999998</v>
      </c>
      <c r="AM7" s="23">
        <v>2396.2600000000002</v>
      </c>
      <c r="AN7" s="23">
        <v>2585.33</v>
      </c>
      <c r="AO7" s="23">
        <v>2778.95</v>
      </c>
      <c r="AP7" s="23">
        <v>2762.34</v>
      </c>
      <c r="AQ7" s="23">
        <v>2680.76</v>
      </c>
      <c r="AR7" s="23">
        <v>2799.25</v>
      </c>
      <c r="AS7" s="23">
        <v>2807.29</v>
      </c>
      <c r="AT7" s="23">
        <v>2920.67</v>
      </c>
      <c r="AU7" s="23">
        <v>2983.55</v>
      </c>
      <c r="AV7" s="23">
        <v>2915.29</v>
      </c>
      <c r="AW7" s="23">
        <v>2915.29</v>
      </c>
      <c r="AX7" s="23">
        <v>3018.13</v>
      </c>
      <c r="AY7" s="23">
        <v>3195.77</v>
      </c>
      <c r="AZ7" s="23">
        <v>3360.96</v>
      </c>
      <c r="BA7" s="23">
        <v>3340.45</v>
      </c>
      <c r="BB7" s="23">
        <v>3564.53</v>
      </c>
      <c r="BC7" s="23">
        <v>3648</v>
      </c>
      <c r="BD7" s="23">
        <v>3831.8</v>
      </c>
      <c r="BE7" s="23">
        <v>4240.7299999999996</v>
      </c>
      <c r="BF7" s="23">
        <v>3964.33</v>
      </c>
      <c r="BG7" s="23">
        <v>3772.24</v>
      </c>
      <c r="BH7" s="23">
        <v>3262.23</v>
      </c>
      <c r="BI7" s="23">
        <v>3416.7</v>
      </c>
      <c r="BJ7" s="23">
        <v>3342.58</v>
      </c>
      <c r="BK7" s="23">
        <v>2994.16</v>
      </c>
      <c r="BL7" s="23">
        <v>2927.73</v>
      </c>
      <c r="BM7" s="23">
        <v>3082.81</v>
      </c>
      <c r="BN7" s="23">
        <v>3135.63</v>
      </c>
      <c r="BO7" s="23">
        <v>3281.02</v>
      </c>
      <c r="BP7" s="23">
        <v>3014.45</v>
      </c>
      <c r="BQ7" s="23">
        <v>2880.95</v>
      </c>
      <c r="BR7" s="23">
        <v>2602.1999999999998</v>
      </c>
      <c r="BS7" s="23">
        <v>2352.35</v>
      </c>
      <c r="BT7" s="23">
        <v>2364.9499999999998</v>
      </c>
      <c r="BU7" s="23">
        <v>2429.0500000000002</v>
      </c>
      <c r="BV7" s="23">
        <v>2427.98</v>
      </c>
      <c r="BW7" s="23">
        <v>2482.27</v>
      </c>
      <c r="BX7" s="23">
        <v>2509.48</v>
      </c>
      <c r="BY7" s="23">
        <v>2486.6799999999998</v>
      </c>
      <c r="BZ7" s="23">
        <v>2534.5</v>
      </c>
      <c r="CA7" s="23">
        <v>2433.21</v>
      </c>
      <c r="CB7" s="23">
        <v>2433.9299999999998</v>
      </c>
      <c r="CC7" s="23">
        <v>2596.4</v>
      </c>
      <c r="CD7" s="23">
        <v>2875.42</v>
      </c>
      <c r="CE7" s="23">
        <v>2894.52</v>
      </c>
      <c r="CF7" s="23">
        <v>2861.05</v>
      </c>
      <c r="CG7" s="23">
        <v>2631.62</v>
      </c>
      <c r="CH7" s="23">
        <v>2796.11</v>
      </c>
      <c r="CI7" s="23">
        <v>3040.48</v>
      </c>
      <c r="CJ7" s="23">
        <v>3045.48</v>
      </c>
      <c r="CK7" s="23">
        <v>3052.05</v>
      </c>
      <c r="CL7" s="23">
        <v>2896.25</v>
      </c>
      <c r="CM7" s="23">
        <v>2811.47</v>
      </c>
      <c r="CN7" s="23">
        <v>2826.27</v>
      </c>
      <c r="CO7" s="23">
        <v>2902.43</v>
      </c>
      <c r="CP7" s="23">
        <v>2800.34</v>
      </c>
      <c r="CQ7" s="23">
        <v>2594.27</v>
      </c>
      <c r="CR7" s="23">
        <v>2595.88</v>
      </c>
      <c r="CS7" s="23">
        <v>2650.29</v>
      </c>
      <c r="CT7" s="23">
        <v>2659.2</v>
      </c>
      <c r="CU7" s="23">
        <v>2627.8</v>
      </c>
      <c r="CV7" s="23">
        <v>2696.83</v>
      </c>
      <c r="CW7" s="23">
        <v>2760.77</v>
      </c>
      <c r="CX7" s="23">
        <v>2799.58</v>
      </c>
      <c r="CY7" s="27">
        <f t="shared" si="0"/>
        <v>0.57099394901761691</v>
      </c>
      <c r="CZ7" s="27">
        <f t="shared" si="1"/>
        <v>2812.4423999999999</v>
      </c>
      <c r="DA7" s="27">
        <f t="shared" si="2"/>
        <v>437.94090344859546</v>
      </c>
      <c r="DB7" s="28">
        <f t="shared" si="3"/>
        <v>0.15571551027981781</v>
      </c>
      <c r="DC7" s="28">
        <f t="shared" si="6"/>
        <v>0.86417192192887404</v>
      </c>
      <c r="DD7" s="28">
        <f t="shared" si="7"/>
        <v>-1.808245768474348E-2</v>
      </c>
      <c r="DE7" s="28">
        <f t="shared" si="8"/>
        <v>-0.11612496181176588</v>
      </c>
      <c r="DF7" s="19">
        <f t="shared" si="4"/>
        <v>1866.11</v>
      </c>
      <c r="DG7" s="19">
        <f t="shared" si="5"/>
        <v>4240.7299999999996</v>
      </c>
      <c r="DH7">
        <f>1/DB7</f>
        <v>6.4219678450978908</v>
      </c>
      <c r="DK7" t="s">
        <v>84</v>
      </c>
      <c r="DL7">
        <f>DH9</f>
        <v>5.2465276911786862</v>
      </c>
      <c r="DM7" s="2">
        <f t="shared" si="9"/>
        <v>0.34699620341953119</v>
      </c>
      <c r="DN7" s="31">
        <f>DM7*DB9</f>
        <v>6.6138258262308902E-2</v>
      </c>
      <c r="DO7" s="18">
        <f>DD9</f>
        <v>4.8975758883020859E-2</v>
      </c>
      <c r="DP7" s="37"/>
    </row>
    <row r="8" spans="1:121" ht="29.25" customHeight="1" thickBot="1" x14ac:dyDescent="0.4">
      <c r="A8" s="26" t="s">
        <v>86</v>
      </c>
      <c r="B8" s="22" t="s">
        <v>140</v>
      </c>
      <c r="C8" s="22">
        <v>2124.3200000000002</v>
      </c>
      <c r="D8" s="22">
        <v>2127.2600000000002</v>
      </c>
      <c r="E8" s="22">
        <v>2046.93</v>
      </c>
      <c r="F8" s="22">
        <v>2194.9299999999998</v>
      </c>
      <c r="G8" s="22">
        <v>2199.5700000000002</v>
      </c>
      <c r="H8" s="22">
        <v>2132.9499999999998</v>
      </c>
      <c r="I8" s="22">
        <v>2150.79</v>
      </c>
      <c r="J8" s="22">
        <v>2301.4299999999998</v>
      </c>
      <c r="K8" s="22">
        <v>2275.4499999999998</v>
      </c>
      <c r="L8" s="22">
        <v>2136.61</v>
      </c>
      <c r="M8" s="22">
        <v>1699.33</v>
      </c>
      <c r="N8" s="22">
        <v>2040.59</v>
      </c>
      <c r="O8" s="22">
        <v>2053.8200000000002</v>
      </c>
      <c r="P8" s="22">
        <v>1956.02</v>
      </c>
      <c r="Q8" s="22">
        <v>1939.48</v>
      </c>
      <c r="R8" s="22">
        <v>1854.24</v>
      </c>
      <c r="S8" s="22">
        <v>1856.11</v>
      </c>
      <c r="T8" s="22">
        <v>1866.65</v>
      </c>
      <c r="U8" s="22">
        <v>1865.59</v>
      </c>
      <c r="V8" s="22">
        <v>1801.86</v>
      </c>
      <c r="W8" s="22">
        <v>1752</v>
      </c>
      <c r="X8" s="22">
        <v>1787.93</v>
      </c>
      <c r="Y8" s="22">
        <v>1760.83</v>
      </c>
      <c r="Z8" s="22">
        <v>1749</v>
      </c>
      <c r="AA8" s="22">
        <v>1721.38</v>
      </c>
      <c r="AB8" s="22">
        <v>1758.05</v>
      </c>
      <c r="AC8" s="22">
        <v>1762.32</v>
      </c>
      <c r="AD8" s="22">
        <v>1780.22</v>
      </c>
      <c r="AE8" s="22">
        <v>1723.11</v>
      </c>
      <c r="AF8" s="22">
        <v>1667.76</v>
      </c>
      <c r="AG8" s="22">
        <v>1480.63</v>
      </c>
      <c r="AH8" s="22">
        <v>1451.5</v>
      </c>
      <c r="AI8" s="22">
        <v>1536.23</v>
      </c>
      <c r="AJ8" s="22">
        <v>1605.78</v>
      </c>
      <c r="AK8" s="22">
        <v>1700.65</v>
      </c>
      <c r="AL8" s="22">
        <v>1749.55</v>
      </c>
      <c r="AM8" s="22">
        <v>1768.52</v>
      </c>
      <c r="AN8" s="22">
        <v>1874</v>
      </c>
      <c r="AO8" s="22">
        <v>2010.1</v>
      </c>
      <c r="AP8" s="22">
        <v>2006.63</v>
      </c>
      <c r="AQ8" s="22">
        <v>2029.61</v>
      </c>
      <c r="AR8" s="22">
        <v>2171.5500000000002</v>
      </c>
      <c r="AS8" s="22">
        <v>2255.2600000000002</v>
      </c>
      <c r="AT8" s="22">
        <v>2433.88</v>
      </c>
      <c r="AU8" s="22">
        <v>2418.5500000000002</v>
      </c>
      <c r="AV8" s="22">
        <v>2466.4499999999998</v>
      </c>
      <c r="AW8" s="22">
        <v>2557.3000000000002</v>
      </c>
      <c r="AX8" s="22">
        <v>2748.9</v>
      </c>
      <c r="AY8" s="22">
        <v>2961.68</v>
      </c>
      <c r="AZ8" s="22">
        <v>2709.41</v>
      </c>
      <c r="BA8" s="22">
        <v>2650.05</v>
      </c>
      <c r="BB8" s="22">
        <v>2883.35</v>
      </c>
      <c r="BC8" s="22">
        <v>3159.86</v>
      </c>
      <c r="BD8" s="22">
        <v>3483.9</v>
      </c>
      <c r="BE8" s="22">
        <v>3440.38</v>
      </c>
      <c r="BF8" s="22">
        <v>2931.62</v>
      </c>
      <c r="BG8" s="22">
        <v>2738.74</v>
      </c>
      <c r="BH8" s="22">
        <v>2412.5700000000002</v>
      </c>
      <c r="BI8" s="22">
        <v>2436.52</v>
      </c>
      <c r="BJ8" s="22">
        <v>2324.0500000000002</v>
      </c>
      <c r="BK8" s="22">
        <v>2225.5</v>
      </c>
      <c r="BL8" s="22">
        <v>2282.98</v>
      </c>
      <c r="BM8" s="22">
        <v>2393.71</v>
      </c>
      <c r="BN8" s="22">
        <v>2402.5300000000002</v>
      </c>
      <c r="BO8" s="22">
        <v>2501.5500000000002</v>
      </c>
      <c r="BP8" s="22">
        <v>2313.8000000000002</v>
      </c>
      <c r="BQ8" s="22">
        <v>2313.4499999999998</v>
      </c>
      <c r="BR8" s="22">
        <v>2307.0300000000002</v>
      </c>
      <c r="BS8" s="22">
        <v>2218.4499999999998</v>
      </c>
      <c r="BT8" s="22">
        <v>2141.25</v>
      </c>
      <c r="BU8" s="22">
        <v>2151.5700000000002</v>
      </c>
      <c r="BV8" s="22">
        <v>2144.36</v>
      </c>
      <c r="BW8" s="22">
        <v>2201.0700000000002</v>
      </c>
      <c r="BX8" s="22">
        <v>2205.4</v>
      </c>
      <c r="BY8" s="22">
        <v>2154.0700000000002</v>
      </c>
      <c r="BZ8" s="22">
        <v>2214.2800000000002</v>
      </c>
      <c r="CA8" s="22">
        <v>2195</v>
      </c>
      <c r="CB8" s="22">
        <v>2187.0500000000002</v>
      </c>
      <c r="CC8" s="22">
        <v>2390.31</v>
      </c>
      <c r="CD8" s="22">
        <v>2539.08</v>
      </c>
      <c r="CE8" s="22">
        <v>2562.36</v>
      </c>
      <c r="CF8" s="22">
        <v>2440.3200000000002</v>
      </c>
      <c r="CG8" s="22">
        <v>2244.1</v>
      </c>
      <c r="CH8" s="22">
        <v>2430.3200000000002</v>
      </c>
      <c r="CI8" s="22">
        <v>2571.5</v>
      </c>
      <c r="CJ8" s="22">
        <v>2591.86</v>
      </c>
      <c r="CK8" s="22">
        <v>2565.23</v>
      </c>
      <c r="CL8" s="22">
        <v>2531.9699999999998</v>
      </c>
      <c r="CM8" s="22">
        <v>2659.1</v>
      </c>
      <c r="CN8" s="22">
        <v>2673.04</v>
      </c>
      <c r="CO8" s="22">
        <v>2687.27</v>
      </c>
      <c r="CP8" s="22">
        <v>2517.4699999999998</v>
      </c>
      <c r="CQ8" s="22">
        <v>2355.31</v>
      </c>
      <c r="CR8" s="22">
        <v>2392.88</v>
      </c>
      <c r="CS8" s="22">
        <v>2443.3200000000002</v>
      </c>
      <c r="CT8" s="22">
        <v>2457.13</v>
      </c>
      <c r="CU8" s="22">
        <v>2515.1</v>
      </c>
      <c r="CV8" s="22">
        <v>2577.4</v>
      </c>
      <c r="CW8" s="22">
        <v>2604.4</v>
      </c>
      <c r="CX8" s="22">
        <v>2611.4699999999998</v>
      </c>
      <c r="CY8" s="29">
        <f t="shared" si="0"/>
        <v>0.65398224468995225</v>
      </c>
      <c r="CZ8" s="27">
        <f t="shared" si="1"/>
        <v>2243.9774000000002</v>
      </c>
      <c r="DA8" s="27">
        <f t="shared" si="2"/>
        <v>396.40523419884312</v>
      </c>
      <c r="DB8" s="30">
        <f t="shared" si="3"/>
        <v>0.17665295301050851</v>
      </c>
      <c r="DC8" s="28">
        <f t="shared" si="6"/>
        <v>1.229320441364766</v>
      </c>
      <c r="DD8" s="28">
        <f t="shared" si="7"/>
        <v>2.6143593107297081E-2</v>
      </c>
      <c r="DE8" s="28">
        <f t="shared" si="8"/>
        <v>0.1479940904567946</v>
      </c>
      <c r="DF8" s="19">
        <f t="shared" si="4"/>
        <v>1451.5</v>
      </c>
      <c r="DG8" s="19">
        <f t="shared" si="5"/>
        <v>3483.9</v>
      </c>
      <c r="DH8">
        <f>1/DB8</f>
        <v>5.6608167763859187</v>
      </c>
      <c r="DM8" s="2"/>
      <c r="DO8" s="18"/>
      <c r="DP8" s="34"/>
    </row>
    <row r="9" spans="1:121" ht="23.25" customHeight="1" thickBot="1" x14ac:dyDescent="0.4">
      <c r="A9" s="26" t="s">
        <v>84</v>
      </c>
      <c r="B9" s="25" t="s">
        <v>141</v>
      </c>
      <c r="C9" s="25">
        <v>6618.05</v>
      </c>
      <c r="D9" s="25">
        <v>6860.5</v>
      </c>
      <c r="E9" s="25">
        <v>6741.5</v>
      </c>
      <c r="F9" s="25">
        <v>7095.83</v>
      </c>
      <c r="G9" s="25">
        <v>7004.4</v>
      </c>
      <c r="H9" s="25">
        <v>6932.35</v>
      </c>
      <c r="I9" s="25">
        <v>6751.79</v>
      </c>
      <c r="J9" s="25">
        <v>6837.1</v>
      </c>
      <c r="K9" s="25">
        <v>6996.69</v>
      </c>
      <c r="L9" s="25">
        <v>6446.39</v>
      </c>
      <c r="M9" s="25">
        <v>6107.4</v>
      </c>
      <c r="N9" s="25">
        <v>5956.98</v>
      </c>
      <c r="O9" s="25">
        <v>6226.2</v>
      </c>
      <c r="P9" s="25">
        <v>6174.14</v>
      </c>
      <c r="Q9" s="25">
        <v>6180.77</v>
      </c>
      <c r="R9" s="25">
        <v>5926.24</v>
      </c>
      <c r="S9" s="25">
        <v>6093.59</v>
      </c>
      <c r="T9" s="25">
        <v>6475.48</v>
      </c>
      <c r="U9" s="25">
        <v>6442.16</v>
      </c>
      <c r="V9" s="25">
        <v>6218.67</v>
      </c>
      <c r="W9" s="25">
        <v>5852</v>
      </c>
      <c r="X9" s="25">
        <v>5937.45</v>
      </c>
      <c r="Y9" s="25">
        <v>5816.4</v>
      </c>
      <c r="Z9" s="25">
        <v>5725.3</v>
      </c>
      <c r="AA9" s="25">
        <v>5697.05</v>
      </c>
      <c r="AB9" s="25">
        <v>5851.98</v>
      </c>
      <c r="AC9" s="25">
        <v>5959.75</v>
      </c>
      <c r="AD9" s="25">
        <v>6178.78</v>
      </c>
      <c r="AE9" s="25">
        <v>5786.04</v>
      </c>
      <c r="AF9" s="25">
        <v>5493.5</v>
      </c>
      <c r="AG9" s="25">
        <v>4889.68</v>
      </c>
      <c r="AH9" s="25">
        <v>5162.17</v>
      </c>
      <c r="AI9" s="25">
        <v>5550.18</v>
      </c>
      <c r="AJ9" s="25">
        <v>6150.3</v>
      </c>
      <c r="AK9" s="25">
        <v>6447.8</v>
      </c>
      <c r="AL9" s="25">
        <v>6701.07</v>
      </c>
      <c r="AM9" s="25">
        <v>6639.12</v>
      </c>
      <c r="AN9" s="25">
        <v>6874.41</v>
      </c>
      <c r="AO9" s="25">
        <v>7607.31</v>
      </c>
      <c r="AP9" s="25">
        <v>7921.82</v>
      </c>
      <c r="AQ9" s="25">
        <v>8101.57</v>
      </c>
      <c r="AR9" s="25">
        <v>9099.58</v>
      </c>
      <c r="AS9" s="25">
        <v>8994.9699999999993</v>
      </c>
      <c r="AT9" s="25">
        <v>10031.36</v>
      </c>
      <c r="AU9" s="25">
        <v>9869</v>
      </c>
      <c r="AV9" s="25">
        <v>9334.07</v>
      </c>
      <c r="AW9" s="25">
        <v>9448.7999999999993</v>
      </c>
      <c r="AX9" s="25">
        <v>9360.7800000000007</v>
      </c>
      <c r="AY9" s="25">
        <v>9470.34</v>
      </c>
      <c r="AZ9" s="25">
        <v>9844.41</v>
      </c>
      <c r="BA9" s="25">
        <v>9604</v>
      </c>
      <c r="BB9" s="25">
        <v>9687.33</v>
      </c>
      <c r="BC9" s="25">
        <v>9888.14</v>
      </c>
      <c r="BD9" s="25">
        <v>10124.75</v>
      </c>
      <c r="BE9" s="25">
        <v>10311.18</v>
      </c>
      <c r="BF9" s="25">
        <v>9581.83</v>
      </c>
      <c r="BG9" s="25">
        <v>9428.5300000000007</v>
      </c>
      <c r="BH9" s="25">
        <v>7957.07</v>
      </c>
      <c r="BI9" s="25">
        <v>7780.24</v>
      </c>
      <c r="BJ9" s="25">
        <v>7901.75</v>
      </c>
      <c r="BK9" s="25">
        <v>7608.77</v>
      </c>
      <c r="BL9" s="25">
        <v>7890.73</v>
      </c>
      <c r="BM9" s="25">
        <v>8235.57</v>
      </c>
      <c r="BN9" s="25">
        <v>8671.85</v>
      </c>
      <c r="BO9" s="25">
        <v>9070.33</v>
      </c>
      <c r="BP9" s="25">
        <v>8843.1</v>
      </c>
      <c r="BQ9" s="25">
        <v>8910.6200000000008</v>
      </c>
      <c r="BR9" s="25">
        <v>8458.3799999999992</v>
      </c>
      <c r="BS9" s="25">
        <v>8247.1</v>
      </c>
      <c r="BT9" s="25">
        <v>8394.61</v>
      </c>
      <c r="BU9" s="25">
        <v>8420.14</v>
      </c>
      <c r="BV9" s="25">
        <v>8353.2099999999991</v>
      </c>
      <c r="BW9" s="25">
        <v>8007.89</v>
      </c>
      <c r="BX9" s="25">
        <v>8032.14</v>
      </c>
      <c r="BY9" s="25">
        <v>8331.57</v>
      </c>
      <c r="BZ9" s="25">
        <v>8359.5300000000007</v>
      </c>
      <c r="CA9" s="25">
        <v>8313.83</v>
      </c>
      <c r="CB9" s="25">
        <v>8544.57</v>
      </c>
      <c r="CC9" s="25">
        <v>9134.1200000000008</v>
      </c>
      <c r="CD9" s="25">
        <v>9900.58</v>
      </c>
      <c r="CE9" s="25">
        <v>9978.75</v>
      </c>
      <c r="CF9" s="25">
        <v>9579.11</v>
      </c>
      <c r="CG9" s="25">
        <v>8903.07</v>
      </c>
      <c r="CH9" s="25">
        <v>9093.91</v>
      </c>
      <c r="CI9" s="25">
        <v>9617</v>
      </c>
      <c r="CJ9" s="25">
        <v>9280.23</v>
      </c>
      <c r="CK9" s="25">
        <v>8945.2999999999993</v>
      </c>
      <c r="CL9" s="25">
        <v>8895.14</v>
      </c>
      <c r="CM9" s="25">
        <v>9362.83</v>
      </c>
      <c r="CN9" s="25">
        <v>9484</v>
      </c>
      <c r="CO9" s="25">
        <v>9763.8700000000008</v>
      </c>
      <c r="CP9" s="25">
        <v>9525.19</v>
      </c>
      <c r="CQ9" s="25">
        <v>9096.92</v>
      </c>
      <c r="CR9" s="25">
        <v>9384.3799999999992</v>
      </c>
      <c r="CS9" s="25">
        <v>9530.36</v>
      </c>
      <c r="CT9" s="25">
        <v>9649.6299999999992</v>
      </c>
      <c r="CU9" s="25">
        <v>9822.07</v>
      </c>
      <c r="CV9" s="25">
        <v>9952.5300000000007</v>
      </c>
      <c r="CW9" s="25">
        <v>9725.3700000000008</v>
      </c>
      <c r="CX9" s="25">
        <v>9701.83</v>
      </c>
      <c r="CY9" s="29">
        <f t="shared" si="0"/>
        <v>0.56044843141679923</v>
      </c>
      <c r="CZ9" s="27">
        <f t="shared" si="1"/>
        <v>7971.6816999999974</v>
      </c>
      <c r="DA9" s="27">
        <f t="shared" si="2"/>
        <v>1519.4204947022927</v>
      </c>
      <c r="DB9" s="30">
        <f t="shared" si="3"/>
        <v>0.19060225331153063</v>
      </c>
      <c r="DC9" s="28">
        <f t="shared" si="6"/>
        <v>1.4659650501280588</v>
      </c>
      <c r="DD9" s="28">
        <f t="shared" si="7"/>
        <v>4.8975758883020859E-2</v>
      </c>
      <c r="DE9" s="28">
        <f t="shared" si="8"/>
        <v>0.25695267517625947</v>
      </c>
      <c r="DF9" s="19">
        <f t="shared" si="4"/>
        <v>4889.68</v>
      </c>
      <c r="DG9" s="19">
        <f t="shared" si="5"/>
        <v>10311.18</v>
      </c>
      <c r="DH9">
        <f>1/DB9</f>
        <v>5.2465276911786862</v>
      </c>
    </row>
    <row r="10" spans="1:121" ht="28.5" customHeight="1" thickBot="1" x14ac:dyDescent="0.4">
      <c r="A10" s="26" t="s">
        <v>101</v>
      </c>
      <c r="B10" s="22" t="s">
        <v>142</v>
      </c>
      <c r="C10" s="22">
        <v>1286.3599999999999</v>
      </c>
      <c r="D10" s="22">
        <v>1276.76</v>
      </c>
      <c r="E10" s="22">
        <v>1269.54</v>
      </c>
      <c r="F10" s="22">
        <v>1309.96</v>
      </c>
      <c r="G10" s="22">
        <v>1337.54</v>
      </c>
      <c r="H10" s="22">
        <v>1323.17</v>
      </c>
      <c r="I10" s="22">
        <v>1337.43</v>
      </c>
      <c r="J10" s="22">
        <v>1312.51</v>
      </c>
      <c r="K10" s="22">
        <v>1295.1500000000001</v>
      </c>
      <c r="L10" s="22">
        <v>1251.46</v>
      </c>
      <c r="M10" s="22">
        <v>1212.3699999999999</v>
      </c>
      <c r="N10" s="22">
        <v>1198.5899999999999</v>
      </c>
      <c r="O10" s="22">
        <v>1204.9100000000001</v>
      </c>
      <c r="P10" s="22">
        <v>1223.05</v>
      </c>
      <c r="Q10" s="22">
        <v>1234.1500000000001</v>
      </c>
      <c r="R10" s="22">
        <v>1282.29</v>
      </c>
      <c r="S10" s="22">
        <v>1307.3599999999999</v>
      </c>
      <c r="T10" s="22">
        <v>1308.02</v>
      </c>
      <c r="U10" s="22">
        <v>1296.44</v>
      </c>
      <c r="V10" s="22">
        <v>1283.69</v>
      </c>
      <c r="W10" s="22">
        <v>1312.55</v>
      </c>
      <c r="X10" s="22">
        <v>1406.29</v>
      </c>
      <c r="Y10" s="22">
        <v>1462.46</v>
      </c>
      <c r="Z10" s="22">
        <v>1515.23</v>
      </c>
      <c r="AA10" s="22">
        <v>1498.65</v>
      </c>
      <c r="AB10" s="22">
        <v>1484.03</v>
      </c>
      <c r="AC10" s="22">
        <v>1466.68</v>
      </c>
      <c r="AD10" s="22">
        <v>1536.14</v>
      </c>
      <c r="AE10" s="22">
        <v>1571.59</v>
      </c>
      <c r="AF10" s="22">
        <v>1609.19</v>
      </c>
      <c r="AG10" s="22">
        <v>1632.92</v>
      </c>
      <c r="AH10" s="22">
        <v>1708.91</v>
      </c>
      <c r="AI10" s="22">
        <v>1719.81</v>
      </c>
      <c r="AJ10" s="22">
        <v>1784.74</v>
      </c>
      <c r="AK10" s="22">
        <v>1951.85</v>
      </c>
      <c r="AL10" s="22">
        <v>1941.15</v>
      </c>
      <c r="AM10" s="22">
        <v>1895.14</v>
      </c>
      <c r="AN10" s="22">
        <v>1891.82</v>
      </c>
      <c r="AO10" s="22">
        <v>1835.43</v>
      </c>
      <c r="AP10" s="22">
        <v>1876.42</v>
      </c>
      <c r="AQ10" s="22">
        <v>1830.05</v>
      </c>
      <c r="AR10" s="22">
        <v>1734.7</v>
      </c>
      <c r="AS10" s="22">
        <v>1735.31</v>
      </c>
      <c r="AT10" s="22">
        <v>1809.73</v>
      </c>
      <c r="AU10" s="22">
        <v>1874.33</v>
      </c>
      <c r="AV10" s="22">
        <v>1794.84</v>
      </c>
      <c r="AW10" s="22">
        <v>1789.64</v>
      </c>
      <c r="AX10" s="22">
        <v>1795.32</v>
      </c>
      <c r="AY10" s="22">
        <v>1762.57</v>
      </c>
      <c r="AZ10" s="22">
        <v>1817.52</v>
      </c>
      <c r="BA10" s="22">
        <v>1786.24</v>
      </c>
      <c r="BB10" s="22">
        <v>1807.53</v>
      </c>
      <c r="BC10" s="22">
        <v>1831.08</v>
      </c>
      <c r="BD10" s="22">
        <v>1940.31</v>
      </c>
      <c r="BE10" s="22">
        <v>1942.41</v>
      </c>
      <c r="BF10" s="22">
        <v>1873.14</v>
      </c>
      <c r="BG10" s="22">
        <v>1842.57</v>
      </c>
      <c r="BH10" s="22">
        <v>1778.12</v>
      </c>
      <c r="BI10" s="22">
        <v>1759.97</v>
      </c>
      <c r="BJ10" s="22">
        <v>1716.37</v>
      </c>
      <c r="BK10" s="22">
        <v>1666.39</v>
      </c>
      <c r="BL10" s="22">
        <v>1690.86</v>
      </c>
      <c r="BM10" s="22">
        <v>1775.03</v>
      </c>
      <c r="BN10" s="22">
        <v>1862.54</v>
      </c>
      <c r="BO10" s="22">
        <v>1889.85</v>
      </c>
      <c r="BP10" s="22">
        <v>1856.45</v>
      </c>
      <c r="BQ10" s="22">
        <v>1988.21</v>
      </c>
      <c r="BR10" s="22">
        <v>1999.99</v>
      </c>
      <c r="BS10" s="22">
        <v>1959.85</v>
      </c>
      <c r="BT10" s="22">
        <v>1931.95</v>
      </c>
      <c r="BU10" s="22">
        <v>1935.49</v>
      </c>
      <c r="BV10" s="22">
        <v>1921.85</v>
      </c>
      <c r="BW10" s="22">
        <v>1885.22</v>
      </c>
      <c r="BX10" s="22">
        <v>1973.74</v>
      </c>
      <c r="BY10" s="22">
        <v>2015.23</v>
      </c>
      <c r="BZ10" s="22">
        <v>2043.09</v>
      </c>
      <c r="CA10" s="22">
        <v>2022.29</v>
      </c>
      <c r="CB10" s="22">
        <v>2102.25</v>
      </c>
      <c r="CC10" s="22">
        <v>2286.7800000000002</v>
      </c>
      <c r="CD10" s="22">
        <v>2333.4</v>
      </c>
      <c r="CE10" s="22">
        <v>2344.4699999999998</v>
      </c>
      <c r="CF10" s="22">
        <v>2373.25</v>
      </c>
      <c r="CG10" s="22">
        <v>2425.4899999999998</v>
      </c>
      <c r="CH10" s="22">
        <v>2522.1799999999998</v>
      </c>
      <c r="CI10" s="22">
        <v>2650.71</v>
      </c>
      <c r="CJ10" s="22">
        <v>2689.46</v>
      </c>
      <c r="CK10" s="22">
        <v>2651.36</v>
      </c>
      <c r="CL10" s="22">
        <v>2651.38</v>
      </c>
      <c r="CM10" s="22">
        <v>2907.23</v>
      </c>
      <c r="CN10" s="22">
        <v>2910.6</v>
      </c>
      <c r="CO10" s="22">
        <v>2973.68</v>
      </c>
      <c r="CP10" s="22">
        <v>3056.28</v>
      </c>
      <c r="CQ10" s="22">
        <v>3216.94</v>
      </c>
      <c r="CR10" s="22">
        <v>3316.69</v>
      </c>
      <c r="CS10" s="22">
        <v>3279.13</v>
      </c>
      <c r="CT10" s="22">
        <v>3313.97</v>
      </c>
      <c r="CU10" s="22">
        <v>3362.93</v>
      </c>
      <c r="CV10" s="22">
        <v>3326.36</v>
      </c>
      <c r="CW10" s="22">
        <v>3347.17</v>
      </c>
      <c r="CX10" s="22">
        <v>3359.73</v>
      </c>
      <c r="CY10" s="29">
        <f t="shared" si="0"/>
        <v>0.10849600220044314</v>
      </c>
      <c r="CZ10" s="27">
        <f t="shared" si="1"/>
        <v>1926.9296999999999</v>
      </c>
      <c r="DA10" s="27">
        <f t="shared" si="2"/>
        <v>589.66519279747138</v>
      </c>
      <c r="DB10" s="30">
        <f t="shared" si="3"/>
        <v>0.30601282070512037</v>
      </c>
      <c r="DC10" s="28">
        <f t="shared" si="6"/>
        <v>2.6118116234957558</v>
      </c>
      <c r="DD10" s="28">
        <f t="shared" si="7"/>
        <v>0.12750306539678213</v>
      </c>
      <c r="DE10" s="28">
        <f t="shared" si="8"/>
        <v>0.41665922722775872</v>
      </c>
      <c r="DF10" s="19">
        <f t="shared" si="4"/>
        <v>1198.5899999999999</v>
      </c>
      <c r="DG10" s="19">
        <f t="shared" si="5"/>
        <v>3362.93</v>
      </c>
      <c r="DH10">
        <f>1/DB10</f>
        <v>3.267836941262074</v>
      </c>
      <c r="DK10" t="s">
        <v>162</v>
      </c>
      <c r="DQ10" s="33"/>
    </row>
    <row r="11" spans="1:121" ht="15" thickBot="1" x14ac:dyDescent="0.4">
      <c r="A11" s="26" t="s">
        <v>99</v>
      </c>
      <c r="B11" s="25" t="s">
        <v>143</v>
      </c>
      <c r="C11" s="25">
        <v>16.96</v>
      </c>
      <c r="D11" s="25">
        <v>16.97</v>
      </c>
      <c r="E11" s="25">
        <v>16.420000000000002</v>
      </c>
      <c r="F11" s="25">
        <v>16.920000000000002</v>
      </c>
      <c r="G11" s="25">
        <v>16.920000000000002</v>
      </c>
      <c r="H11" s="25">
        <v>16.510000000000002</v>
      </c>
      <c r="I11" s="25">
        <v>16.52</v>
      </c>
      <c r="J11" s="25">
        <v>16.53</v>
      </c>
      <c r="K11" s="25">
        <v>16.62</v>
      </c>
      <c r="L11" s="25">
        <v>15.99</v>
      </c>
      <c r="M11" s="25">
        <v>15.3</v>
      </c>
      <c r="N11" s="25">
        <v>14.43</v>
      </c>
      <c r="O11" s="25">
        <v>14.49</v>
      </c>
      <c r="P11" s="25">
        <v>14.48</v>
      </c>
      <c r="Q11" s="25">
        <v>14.46</v>
      </c>
      <c r="R11" s="25">
        <v>15.41</v>
      </c>
      <c r="S11" s="25">
        <v>15.68</v>
      </c>
      <c r="T11" s="25">
        <v>15.5</v>
      </c>
      <c r="U11" s="25">
        <v>15.19</v>
      </c>
      <c r="V11" s="25">
        <v>14.82</v>
      </c>
      <c r="W11" s="25">
        <v>14.67</v>
      </c>
      <c r="X11" s="25">
        <v>15.35</v>
      </c>
      <c r="Y11" s="25">
        <v>16.690000000000001</v>
      </c>
      <c r="Z11" s="25">
        <v>18.02</v>
      </c>
      <c r="AA11" s="25">
        <v>17.68</v>
      </c>
      <c r="AB11" s="25">
        <v>17.489999999999998</v>
      </c>
      <c r="AC11" s="25">
        <v>16.940000000000001</v>
      </c>
      <c r="AD11" s="25">
        <v>17.91</v>
      </c>
      <c r="AE11" s="25">
        <v>17.809999999999999</v>
      </c>
      <c r="AF11" s="25">
        <v>16.48</v>
      </c>
      <c r="AG11" s="25">
        <v>14.4</v>
      </c>
      <c r="AH11" s="25">
        <v>15.42</v>
      </c>
      <c r="AI11" s="25">
        <v>17.559999999999999</v>
      </c>
      <c r="AJ11" s="25">
        <v>18.34</v>
      </c>
      <c r="AK11" s="25">
        <v>25.08</v>
      </c>
      <c r="AL11" s="25">
        <v>27.05</v>
      </c>
      <c r="AM11" s="25">
        <v>24.02</v>
      </c>
      <c r="AN11" s="25">
        <v>24.36</v>
      </c>
      <c r="AO11" s="25">
        <v>24</v>
      </c>
      <c r="AP11" s="25">
        <v>26.03</v>
      </c>
      <c r="AQ11" s="25">
        <v>26.72</v>
      </c>
      <c r="AR11" s="25">
        <v>26.37</v>
      </c>
      <c r="AS11" s="25">
        <v>25.14</v>
      </c>
      <c r="AT11" s="25">
        <v>26.78</v>
      </c>
      <c r="AU11" s="25">
        <v>27.62</v>
      </c>
      <c r="AV11" s="25">
        <v>26.08</v>
      </c>
      <c r="AW11" s="25">
        <v>24.59</v>
      </c>
      <c r="AX11" s="25">
        <v>23.83</v>
      </c>
      <c r="AY11" s="25">
        <v>22.68</v>
      </c>
      <c r="AZ11" s="25">
        <v>24.35</v>
      </c>
      <c r="BA11" s="25">
        <v>22.77</v>
      </c>
      <c r="BB11" s="25">
        <v>22.81</v>
      </c>
      <c r="BC11" s="25">
        <v>23.27</v>
      </c>
      <c r="BD11" s="25">
        <v>25.05</v>
      </c>
      <c r="BE11" s="25">
        <v>24.99</v>
      </c>
      <c r="BF11" s="25">
        <v>22.66</v>
      </c>
      <c r="BG11" s="25">
        <v>21.83</v>
      </c>
      <c r="BH11" s="25">
        <v>20.010000000000002</v>
      </c>
      <c r="BI11" s="25">
        <v>19.73</v>
      </c>
      <c r="BJ11" s="25">
        <v>18.79</v>
      </c>
      <c r="BK11" s="25">
        <v>19.3</v>
      </c>
      <c r="BL11" s="25">
        <v>20.190000000000001</v>
      </c>
      <c r="BM11" s="25">
        <v>22.31</v>
      </c>
      <c r="BN11" s="25">
        <v>23.84</v>
      </c>
      <c r="BO11" s="25">
        <v>22.84</v>
      </c>
      <c r="BP11" s="25">
        <v>21.16</v>
      </c>
      <c r="BQ11" s="25">
        <v>24.04</v>
      </c>
      <c r="BR11" s="25">
        <v>24.75</v>
      </c>
      <c r="BS11" s="25">
        <v>23.61</v>
      </c>
      <c r="BT11" s="25">
        <v>23.31</v>
      </c>
      <c r="BU11" s="25">
        <v>23.69</v>
      </c>
      <c r="BV11" s="25">
        <v>23.55</v>
      </c>
      <c r="BW11" s="25">
        <v>22.37</v>
      </c>
      <c r="BX11" s="25">
        <v>22.91</v>
      </c>
      <c r="BY11" s="25">
        <v>24.03</v>
      </c>
      <c r="BZ11" s="25">
        <v>23.37</v>
      </c>
      <c r="CA11" s="25">
        <v>22.7</v>
      </c>
      <c r="CB11" s="25">
        <v>23.68</v>
      </c>
      <c r="CC11" s="25">
        <v>26.76</v>
      </c>
      <c r="CD11" s="25">
        <v>27.66</v>
      </c>
      <c r="CE11" s="25">
        <v>30.34</v>
      </c>
      <c r="CF11" s="25">
        <v>30.15</v>
      </c>
      <c r="CG11" s="25">
        <v>28.1</v>
      </c>
      <c r="CH11" s="25">
        <v>29.39</v>
      </c>
      <c r="CI11" s="25">
        <v>31.44</v>
      </c>
      <c r="CJ11" s="25">
        <v>32.43</v>
      </c>
      <c r="CK11" s="25">
        <v>30.87</v>
      </c>
      <c r="CL11" s="25">
        <v>29.85</v>
      </c>
      <c r="CM11" s="25">
        <v>32.409999999999997</v>
      </c>
      <c r="CN11" s="25">
        <v>32.21</v>
      </c>
      <c r="CO11" s="25">
        <v>33.14</v>
      </c>
      <c r="CP11" s="25">
        <v>32.86</v>
      </c>
      <c r="CQ11" s="25">
        <v>31.94</v>
      </c>
      <c r="CR11" s="25">
        <v>32.78</v>
      </c>
      <c r="CS11" s="25">
        <v>32.64</v>
      </c>
      <c r="CT11" s="25">
        <v>33.78</v>
      </c>
      <c r="CU11" s="25">
        <v>36.299999999999997</v>
      </c>
      <c r="CV11" s="25">
        <v>36.340000000000003</v>
      </c>
      <c r="CW11" s="25">
        <v>37.96</v>
      </c>
      <c r="CX11" s="25">
        <v>38.01</v>
      </c>
      <c r="CY11" s="29">
        <f t="shared" si="0"/>
        <v>0.21508399945632431</v>
      </c>
      <c r="CZ11" s="27">
        <f t="shared" si="1"/>
        <v>22.965000000000003</v>
      </c>
      <c r="DA11" s="27">
        <f t="shared" si="2"/>
        <v>6.2371421680319497</v>
      </c>
      <c r="DB11" s="30">
        <f t="shared" si="3"/>
        <v>0.2715933885491813</v>
      </c>
      <c r="DC11" s="28">
        <f t="shared" si="6"/>
        <v>2.2411556603773581</v>
      </c>
      <c r="DD11" s="28">
        <f t="shared" si="7"/>
        <v>0.10613721165897827</v>
      </c>
      <c r="DE11" s="28">
        <f t="shared" si="8"/>
        <v>0.39079453379167395</v>
      </c>
      <c r="DF11" s="19">
        <f t="shared" si="4"/>
        <v>14.4</v>
      </c>
      <c r="DG11" s="19">
        <f t="shared" si="5"/>
        <v>38.01</v>
      </c>
      <c r="DH11">
        <f>1/DB11</f>
        <v>3.6819747540316716</v>
      </c>
    </row>
    <row r="12" spans="1:121" ht="22.5" customHeight="1" thickBot="1" x14ac:dyDescent="0.4">
      <c r="A12" s="26" t="s">
        <v>93</v>
      </c>
      <c r="B12" s="22" t="s">
        <v>144</v>
      </c>
      <c r="C12" s="22">
        <v>4.55</v>
      </c>
      <c r="D12" s="22">
        <v>4.62</v>
      </c>
      <c r="E12" s="22">
        <v>4.55</v>
      </c>
      <c r="F12" s="22">
        <v>5.3</v>
      </c>
      <c r="G12" s="22">
        <v>5.9</v>
      </c>
      <c r="H12" s="22">
        <v>6.82</v>
      </c>
      <c r="I12" s="22">
        <v>7.41</v>
      </c>
      <c r="J12" s="22">
        <v>6.89</v>
      </c>
      <c r="K12" s="22">
        <v>5.82</v>
      </c>
      <c r="L12" s="22">
        <v>5.78</v>
      </c>
      <c r="M12" s="22">
        <v>5.93</v>
      </c>
      <c r="N12" s="22">
        <v>5.94</v>
      </c>
      <c r="O12" s="22">
        <v>5.98</v>
      </c>
      <c r="P12" s="22">
        <v>5.98</v>
      </c>
      <c r="Q12" s="22">
        <v>5.96</v>
      </c>
      <c r="R12" s="22">
        <v>5.53</v>
      </c>
      <c r="S12" s="22">
        <v>5.24</v>
      </c>
      <c r="T12" s="22">
        <v>5.48</v>
      </c>
      <c r="U12" s="22">
        <v>5.48</v>
      </c>
      <c r="V12" s="22">
        <v>5.33</v>
      </c>
      <c r="W12" s="22">
        <v>5.13</v>
      </c>
      <c r="X12" s="22">
        <v>5.13</v>
      </c>
      <c r="Y12" s="22">
        <v>5.13</v>
      </c>
      <c r="Z12" s="22">
        <v>4.59</v>
      </c>
      <c r="AA12" s="22">
        <v>4.18</v>
      </c>
      <c r="AB12" s="22">
        <v>3.72</v>
      </c>
      <c r="AC12" s="22">
        <v>3.36</v>
      </c>
      <c r="AD12" s="22">
        <v>3.66</v>
      </c>
      <c r="AE12" s="22">
        <v>3.73</v>
      </c>
      <c r="AF12" s="22">
        <v>3.81</v>
      </c>
      <c r="AG12" s="22">
        <v>3.83</v>
      </c>
      <c r="AH12" s="22">
        <v>4.63</v>
      </c>
      <c r="AI12" s="22">
        <v>5.43</v>
      </c>
      <c r="AJ12" s="22">
        <v>5.03</v>
      </c>
      <c r="AK12" s="22">
        <v>3.97</v>
      </c>
      <c r="AL12" s="22">
        <v>3.94</v>
      </c>
      <c r="AM12" s="22">
        <v>3.98</v>
      </c>
      <c r="AN12" s="22">
        <v>3.98</v>
      </c>
      <c r="AO12" s="22">
        <v>3.78</v>
      </c>
      <c r="AP12" s="22">
        <v>3.88</v>
      </c>
      <c r="AQ12" s="22">
        <v>3.88</v>
      </c>
      <c r="AR12" s="22">
        <v>3.98</v>
      </c>
      <c r="AS12" s="22">
        <v>4.08</v>
      </c>
      <c r="AT12" s="22">
        <v>4.05</v>
      </c>
      <c r="AU12" s="22">
        <v>3.98</v>
      </c>
      <c r="AV12" s="22">
        <v>3.98</v>
      </c>
      <c r="AW12" s="22">
        <v>3.98</v>
      </c>
      <c r="AX12" s="22">
        <v>3.98</v>
      </c>
      <c r="AY12" s="22">
        <v>3.98</v>
      </c>
      <c r="AZ12" s="22">
        <v>4.01</v>
      </c>
      <c r="BA12" s="22">
        <v>4.0999999999999996</v>
      </c>
      <c r="BB12" s="22">
        <v>4.13</v>
      </c>
      <c r="BC12" s="22">
        <v>4.13</v>
      </c>
      <c r="BD12" s="22">
        <v>4.13</v>
      </c>
      <c r="BE12" s="22">
        <v>4.13</v>
      </c>
      <c r="BF12" s="22">
        <v>4.2300000000000004</v>
      </c>
      <c r="BG12" s="22">
        <v>4.2300000000000004</v>
      </c>
      <c r="BH12" s="22">
        <v>4.2300000000000004</v>
      </c>
      <c r="BI12" s="22">
        <v>4.2300000000000004</v>
      </c>
      <c r="BJ12" s="22">
        <v>4.17</v>
      </c>
      <c r="BK12" s="22">
        <v>4.03</v>
      </c>
      <c r="BL12" s="22">
        <v>4.07</v>
      </c>
      <c r="BM12" s="22">
        <v>4.08</v>
      </c>
      <c r="BN12" s="22">
        <v>4.08</v>
      </c>
      <c r="BO12" s="22">
        <v>4.08</v>
      </c>
      <c r="BP12" s="22">
        <v>4.08</v>
      </c>
      <c r="BQ12" s="22">
        <v>4.0999999999999996</v>
      </c>
      <c r="BR12" s="22">
        <v>4.28</v>
      </c>
      <c r="BS12" s="22">
        <v>4.0199999999999996</v>
      </c>
      <c r="BT12" s="22">
        <v>3.82</v>
      </c>
      <c r="BU12" s="22">
        <v>3.63</v>
      </c>
      <c r="BV12" s="22">
        <v>3.58</v>
      </c>
      <c r="BW12" s="22">
        <v>3.56</v>
      </c>
      <c r="BX12" s="22">
        <v>3.55</v>
      </c>
      <c r="BY12" s="22">
        <v>3.52</v>
      </c>
      <c r="BZ12" s="22">
        <v>3.48</v>
      </c>
      <c r="CA12" s="22">
        <v>3.52</v>
      </c>
      <c r="CB12" s="22">
        <v>3.52</v>
      </c>
      <c r="CC12" s="22">
        <v>3.53</v>
      </c>
      <c r="CD12" s="22">
        <v>3.54</v>
      </c>
      <c r="CE12" s="22">
        <v>3.54</v>
      </c>
      <c r="CF12" s="22">
        <v>3.85</v>
      </c>
      <c r="CG12" s="22">
        <v>4.1399999999999997</v>
      </c>
      <c r="CH12" s="22">
        <v>3.94</v>
      </c>
      <c r="CI12" s="22">
        <v>3.73</v>
      </c>
      <c r="CJ12" s="22">
        <v>3.71</v>
      </c>
      <c r="CK12" s="22">
        <v>3.28</v>
      </c>
      <c r="CL12" s="22">
        <v>2.98</v>
      </c>
      <c r="CM12" s="22">
        <v>3.01</v>
      </c>
      <c r="CN12" s="22">
        <v>3.03</v>
      </c>
      <c r="CO12" s="22">
        <v>3.04</v>
      </c>
      <c r="CP12" s="22">
        <v>3.03</v>
      </c>
      <c r="CQ12" s="22">
        <v>2.99</v>
      </c>
      <c r="CR12" s="22">
        <v>3</v>
      </c>
      <c r="CS12" s="22">
        <v>3.12</v>
      </c>
      <c r="CT12" s="22">
        <v>3.18</v>
      </c>
      <c r="CU12" s="22">
        <v>3.18</v>
      </c>
      <c r="CV12" s="22">
        <v>3.18</v>
      </c>
      <c r="CW12" s="22">
        <v>3.22</v>
      </c>
      <c r="CX12" s="22">
        <v>3.27</v>
      </c>
      <c r="CY12" s="27">
        <f t="shared" si="0"/>
        <v>-0.2779858733261748</v>
      </c>
      <c r="CZ12" s="27">
        <f t="shared" si="1"/>
        <v>4.2347999999999981</v>
      </c>
      <c r="DA12" s="27">
        <f t="shared" si="2"/>
        <v>0.93863158508824973</v>
      </c>
      <c r="DB12" s="28">
        <f t="shared" si="3"/>
        <v>0.22164720531979082</v>
      </c>
      <c r="DC12" s="28">
        <f t="shared" si="6"/>
        <v>0.71868131868131868</v>
      </c>
      <c r="DD12" s="28">
        <f t="shared" si="7"/>
        <v>-4.0451248938750406E-2</v>
      </c>
      <c r="DE12" s="28">
        <f t="shared" si="8"/>
        <v>-0.18250286025663021</v>
      </c>
      <c r="DF12" s="19">
        <f t="shared" si="4"/>
        <v>2.98</v>
      </c>
      <c r="DG12" s="19">
        <f t="shared" si="5"/>
        <v>7.41</v>
      </c>
      <c r="DH12">
        <f>1/DB12</f>
        <v>4.5116743004145166</v>
      </c>
    </row>
    <row r="13" spans="1:121" ht="15" thickBot="1" x14ac:dyDescent="0.4">
      <c r="A13" s="26" t="s">
        <v>95</v>
      </c>
      <c r="B13" s="25" t="s">
        <v>145</v>
      </c>
      <c r="C13" s="25">
        <v>0.88</v>
      </c>
      <c r="D13" s="25">
        <v>0.86</v>
      </c>
      <c r="E13" s="25">
        <v>0.83</v>
      </c>
      <c r="F13" s="25">
        <v>0.93</v>
      </c>
      <c r="G13" s="25">
        <v>0.92</v>
      </c>
      <c r="H13" s="25">
        <v>0.92</v>
      </c>
      <c r="I13" s="25">
        <v>0.77</v>
      </c>
      <c r="J13" s="25">
        <v>0.78</v>
      </c>
      <c r="K13" s="25">
        <v>0.76</v>
      </c>
      <c r="L13" s="25">
        <v>0.75</v>
      </c>
      <c r="M13" s="25">
        <v>0.77</v>
      </c>
      <c r="N13" s="25">
        <v>0.79</v>
      </c>
      <c r="O13" s="25">
        <v>0.82</v>
      </c>
      <c r="P13" s="25">
        <v>0.87</v>
      </c>
      <c r="Q13" s="25">
        <v>0.88</v>
      </c>
      <c r="R13" s="25">
        <v>0.88</v>
      </c>
      <c r="S13" s="25">
        <v>0.88</v>
      </c>
      <c r="T13" s="25">
        <v>0.88</v>
      </c>
      <c r="U13" s="25">
        <v>0.88</v>
      </c>
      <c r="V13" s="25">
        <v>1.32</v>
      </c>
      <c r="W13" s="25">
        <v>1.49</v>
      </c>
      <c r="X13" s="25">
        <v>1.76</v>
      </c>
      <c r="Y13" s="25">
        <v>1.58</v>
      </c>
      <c r="Z13" s="25">
        <v>1.28</v>
      </c>
      <c r="AA13" s="25">
        <v>1.31</v>
      </c>
      <c r="AB13" s="25">
        <v>1.19</v>
      </c>
      <c r="AC13" s="25">
        <v>1.28</v>
      </c>
      <c r="AD13" s="25">
        <v>1.34</v>
      </c>
      <c r="AE13" s="25">
        <v>1.28</v>
      </c>
      <c r="AF13" s="25">
        <v>1.28</v>
      </c>
      <c r="AG13" s="25">
        <v>1.21</v>
      </c>
      <c r="AH13" s="25">
        <v>1.23</v>
      </c>
      <c r="AI13" s="25">
        <v>1.46</v>
      </c>
      <c r="AJ13" s="25">
        <v>1.53</v>
      </c>
      <c r="AK13" s="25">
        <v>1.7</v>
      </c>
      <c r="AL13" s="25">
        <v>1.88</v>
      </c>
      <c r="AM13" s="25">
        <v>1.76</v>
      </c>
      <c r="AN13" s="25">
        <v>1.77</v>
      </c>
      <c r="AO13" s="25">
        <v>2.11</v>
      </c>
      <c r="AP13" s="25">
        <v>2.52</v>
      </c>
      <c r="AQ13" s="25">
        <v>2.46</v>
      </c>
      <c r="AR13" s="25">
        <v>2.59</v>
      </c>
      <c r="AS13" s="25">
        <v>2.54</v>
      </c>
      <c r="AT13" s="25">
        <v>3.06</v>
      </c>
      <c r="AU13" s="25">
        <v>3.15</v>
      </c>
      <c r="AV13" s="25">
        <v>3.35</v>
      </c>
      <c r="AW13" s="25">
        <v>2.82</v>
      </c>
      <c r="AX13" s="25">
        <v>2.06</v>
      </c>
      <c r="AY13" s="25">
        <v>1.69</v>
      </c>
      <c r="AZ13" s="25">
        <v>1.53</v>
      </c>
      <c r="BA13" s="25">
        <v>1.48</v>
      </c>
      <c r="BB13" s="25">
        <v>1.83</v>
      </c>
      <c r="BC13" s="25">
        <v>2.11</v>
      </c>
      <c r="BD13" s="25">
        <v>2.1800000000000002</v>
      </c>
      <c r="BE13" s="25">
        <v>2.31</v>
      </c>
      <c r="BF13" s="25">
        <v>2.09</v>
      </c>
      <c r="BG13" s="25">
        <v>2.0299999999999998</v>
      </c>
      <c r="BH13" s="25">
        <v>1.68</v>
      </c>
      <c r="BI13" s="25">
        <v>1.54</v>
      </c>
      <c r="BJ13" s="25">
        <v>1.45</v>
      </c>
      <c r="BK13" s="25">
        <v>1.39</v>
      </c>
      <c r="BL13" s="25">
        <v>1.27</v>
      </c>
      <c r="BM13" s="25">
        <v>1.52</v>
      </c>
      <c r="BN13" s="25">
        <v>1.73</v>
      </c>
      <c r="BO13" s="25">
        <v>1.86</v>
      </c>
      <c r="BP13" s="25">
        <v>1.91</v>
      </c>
      <c r="BQ13" s="25">
        <v>1.81</v>
      </c>
      <c r="BR13" s="25">
        <v>1.57</v>
      </c>
      <c r="BS13" s="25">
        <v>1.57</v>
      </c>
      <c r="BT13" s="25">
        <v>1.64</v>
      </c>
      <c r="BU13" s="25">
        <v>1.6</v>
      </c>
      <c r="BV13" s="25">
        <v>1.72</v>
      </c>
      <c r="BW13" s="25">
        <v>1.77</v>
      </c>
      <c r="BX13" s="25">
        <v>1.85</v>
      </c>
      <c r="BY13" s="25">
        <v>2</v>
      </c>
      <c r="BZ13" s="25">
        <v>2.04</v>
      </c>
      <c r="CA13" s="25">
        <v>1.96</v>
      </c>
      <c r="CB13" s="25">
        <v>1.71</v>
      </c>
      <c r="CC13" s="25">
        <v>1.55</v>
      </c>
      <c r="CD13" s="25">
        <v>1.72</v>
      </c>
      <c r="CE13" s="25">
        <v>1.66</v>
      </c>
      <c r="CF13" s="25">
        <v>1.57</v>
      </c>
      <c r="CG13" s="25">
        <v>1.45</v>
      </c>
      <c r="CH13" s="25">
        <v>1.36</v>
      </c>
      <c r="CI13" s="25">
        <v>1.45</v>
      </c>
      <c r="CJ13" s="25">
        <v>1.48</v>
      </c>
      <c r="CK13" s="25">
        <v>1.52</v>
      </c>
      <c r="CL13" s="25">
        <v>1.44</v>
      </c>
      <c r="CM13" s="25">
        <v>1.57</v>
      </c>
      <c r="CN13" s="25">
        <v>1.54</v>
      </c>
      <c r="CO13" s="25">
        <v>1.48</v>
      </c>
      <c r="CP13" s="25">
        <v>1.49</v>
      </c>
      <c r="CQ13" s="25">
        <v>1.43</v>
      </c>
      <c r="CR13" s="25">
        <v>1.44</v>
      </c>
      <c r="CS13" s="25">
        <v>1.45</v>
      </c>
      <c r="CT13" s="25">
        <v>1.42</v>
      </c>
      <c r="CU13" s="25">
        <v>1.36</v>
      </c>
      <c r="CV13" s="25">
        <v>1.35</v>
      </c>
      <c r="CW13" s="25">
        <v>1.44</v>
      </c>
      <c r="CX13" s="25">
        <v>1.48</v>
      </c>
      <c r="CY13" s="29">
        <f t="shared" si="0"/>
        <v>0.47920465539142787</v>
      </c>
      <c r="CZ13" s="27">
        <f t="shared" si="1"/>
        <v>1.5584999999999993</v>
      </c>
      <c r="DA13" s="27">
        <f t="shared" si="2"/>
        <v>0.533093459314254</v>
      </c>
      <c r="DB13" s="30">
        <f t="shared" si="3"/>
        <v>0.34205547597963054</v>
      </c>
      <c r="DC13" s="28">
        <f t="shared" si="6"/>
        <v>1.6818181818181819</v>
      </c>
      <c r="DD13" s="28">
        <f t="shared" si="7"/>
        <v>6.7142411420136661E-2</v>
      </c>
      <c r="DE13" s="28">
        <f t="shared" si="8"/>
        <v>0.19629099995503363</v>
      </c>
      <c r="DF13" s="19">
        <f t="shared" si="4"/>
        <v>0.75</v>
      </c>
      <c r="DG13" s="19">
        <f t="shared" si="5"/>
        <v>3.35</v>
      </c>
      <c r="DH13">
        <f>1/DB13</f>
        <v>2.9235023855006204</v>
      </c>
    </row>
    <row r="14" spans="1:121" ht="24" customHeight="1" thickBot="1" x14ac:dyDescent="0.4">
      <c r="A14" s="26" t="s">
        <v>97</v>
      </c>
      <c r="B14" s="22" t="s">
        <v>146</v>
      </c>
      <c r="C14" s="22">
        <v>5.14</v>
      </c>
      <c r="D14" s="22">
        <v>3.71</v>
      </c>
      <c r="E14" s="22">
        <v>3.27</v>
      </c>
      <c r="F14" s="22">
        <v>3.46</v>
      </c>
      <c r="G14" s="22">
        <v>4.1399999999999997</v>
      </c>
      <c r="H14" s="22">
        <v>4.41</v>
      </c>
      <c r="I14" s="22">
        <v>4.3899999999999997</v>
      </c>
      <c r="J14" s="22">
        <v>4.08</v>
      </c>
      <c r="K14" s="22">
        <v>3.85</v>
      </c>
      <c r="L14" s="22">
        <v>3.87</v>
      </c>
      <c r="M14" s="22">
        <v>3.53</v>
      </c>
      <c r="N14" s="22">
        <v>3.41</v>
      </c>
      <c r="O14" s="22">
        <v>3.68</v>
      </c>
      <c r="P14" s="22">
        <v>3.87</v>
      </c>
      <c r="Q14" s="22">
        <v>4.22</v>
      </c>
      <c r="R14" s="22">
        <v>4.16</v>
      </c>
      <c r="S14" s="22">
        <v>4.17</v>
      </c>
      <c r="T14" s="22">
        <v>4.49</v>
      </c>
      <c r="U14" s="22">
        <v>4.08</v>
      </c>
      <c r="V14" s="22">
        <v>3.97</v>
      </c>
      <c r="W14" s="22">
        <v>3.83</v>
      </c>
      <c r="X14" s="22">
        <v>3.22</v>
      </c>
      <c r="Y14" s="22">
        <v>2.85</v>
      </c>
      <c r="Z14" s="22">
        <v>2.83</v>
      </c>
      <c r="AA14" s="22">
        <v>2.86</v>
      </c>
      <c r="AB14" s="22">
        <v>2.71</v>
      </c>
      <c r="AC14" s="22">
        <v>2.5099999999999998</v>
      </c>
      <c r="AD14" s="22">
        <v>2.5099999999999998</v>
      </c>
      <c r="AE14" s="22">
        <v>2.56</v>
      </c>
      <c r="AF14" s="22">
        <v>2.4500000000000002</v>
      </c>
      <c r="AG14" s="22">
        <v>2.1800000000000002</v>
      </c>
      <c r="AH14" s="22">
        <v>2.4300000000000002</v>
      </c>
      <c r="AI14" s="22">
        <v>2.65</v>
      </c>
      <c r="AJ14" s="22">
        <v>2.57</v>
      </c>
      <c r="AK14" s="22">
        <v>2.2000000000000002</v>
      </c>
      <c r="AL14" s="22">
        <v>2.25</v>
      </c>
      <c r="AM14" s="22">
        <v>2.34</v>
      </c>
      <c r="AN14" s="22">
        <v>2.2999999999999998</v>
      </c>
      <c r="AO14" s="22">
        <v>2.2799999999999998</v>
      </c>
      <c r="AP14" s="22">
        <v>2.42</v>
      </c>
      <c r="AQ14" s="22">
        <v>2.89</v>
      </c>
      <c r="AR14" s="22">
        <v>3.53</v>
      </c>
      <c r="AS14" s="22">
        <v>3.48</v>
      </c>
      <c r="AT14" s="22">
        <v>3.24</v>
      </c>
      <c r="AU14" s="22">
        <v>3.28</v>
      </c>
      <c r="AV14" s="22">
        <v>3.39</v>
      </c>
      <c r="AW14" s="22">
        <v>3.39</v>
      </c>
      <c r="AX14" s="22">
        <v>3.39</v>
      </c>
      <c r="AY14" s="22">
        <v>3.39</v>
      </c>
      <c r="AZ14" s="22">
        <v>3.39</v>
      </c>
      <c r="BA14" s="22">
        <v>3.39</v>
      </c>
      <c r="BB14" s="22">
        <v>3.39</v>
      </c>
      <c r="BC14" s="22">
        <v>3.45</v>
      </c>
      <c r="BD14" s="22">
        <v>4.17</v>
      </c>
      <c r="BE14" s="22">
        <v>4.6500000000000004</v>
      </c>
      <c r="BF14" s="22">
        <v>5.76</v>
      </c>
      <c r="BG14" s="22">
        <v>5.89</v>
      </c>
      <c r="BH14" s="22">
        <v>5.65</v>
      </c>
      <c r="BI14" s="22">
        <v>4.62</v>
      </c>
      <c r="BJ14" s="22">
        <v>3.74</v>
      </c>
      <c r="BK14" s="22">
        <v>3.84</v>
      </c>
      <c r="BL14" s="22">
        <v>4.04</v>
      </c>
      <c r="BM14" s="22">
        <v>3.92</v>
      </c>
      <c r="BN14" s="22">
        <v>4.3499999999999996</v>
      </c>
      <c r="BO14" s="22">
        <v>5.03</v>
      </c>
      <c r="BP14" s="22">
        <v>5.18</v>
      </c>
      <c r="BQ14" s="22">
        <v>5.08</v>
      </c>
      <c r="BR14" s="22">
        <v>5.29</v>
      </c>
      <c r="BS14" s="22">
        <v>5.9</v>
      </c>
      <c r="BT14" s="22">
        <v>6.13</v>
      </c>
      <c r="BU14" s="22">
        <v>6.1</v>
      </c>
      <c r="BV14" s="22">
        <v>6.21</v>
      </c>
      <c r="BW14" s="22">
        <v>6.37</v>
      </c>
      <c r="BX14" s="22">
        <v>6.35</v>
      </c>
      <c r="BY14" s="22">
        <v>6.32</v>
      </c>
      <c r="BZ14" s="22">
        <v>6.37</v>
      </c>
      <c r="CA14" s="22">
        <v>6.37</v>
      </c>
      <c r="CB14" s="22">
        <v>6.37</v>
      </c>
      <c r="CC14" s="22">
        <v>6.37</v>
      </c>
      <c r="CD14" s="22">
        <v>6.37</v>
      </c>
      <c r="CE14" s="22">
        <v>6.37</v>
      </c>
      <c r="CF14" s="22">
        <v>6.37</v>
      </c>
      <c r="CG14" s="22">
        <v>6.37</v>
      </c>
      <c r="CH14" s="22">
        <v>6.37</v>
      </c>
      <c r="CI14" s="22">
        <v>6.37</v>
      </c>
      <c r="CJ14" s="22">
        <v>6.37</v>
      </c>
      <c r="CK14" s="22">
        <v>6.37</v>
      </c>
      <c r="CL14" s="22">
        <v>6.37</v>
      </c>
      <c r="CM14" s="22">
        <v>6.37</v>
      </c>
      <c r="CN14" s="22">
        <v>6.37</v>
      </c>
      <c r="CO14" s="22">
        <v>6.37</v>
      </c>
      <c r="CP14" s="22">
        <v>6.37</v>
      </c>
      <c r="CQ14" s="22">
        <v>6.37</v>
      </c>
      <c r="CR14" s="22">
        <v>6.37</v>
      </c>
      <c r="CS14" s="22">
        <v>6.37</v>
      </c>
      <c r="CT14" s="22">
        <v>6.37</v>
      </c>
      <c r="CU14" s="22">
        <v>6.37</v>
      </c>
      <c r="CV14" s="22">
        <v>6.37</v>
      </c>
      <c r="CW14" s="22">
        <v>6.37</v>
      </c>
      <c r="CX14" s="22">
        <v>6.37</v>
      </c>
      <c r="CY14" s="27">
        <f t="shared" si="0"/>
        <v>0.18136222317656128</v>
      </c>
      <c r="CZ14" s="27">
        <f t="shared" si="1"/>
        <v>4.4929000000000006</v>
      </c>
      <c r="DA14" s="27">
        <f t="shared" si="2"/>
        <v>1.4820169814591659</v>
      </c>
      <c r="DB14" s="28">
        <f t="shared" si="3"/>
        <v>0.32985754890141461</v>
      </c>
      <c r="DC14" s="28">
        <f t="shared" si="6"/>
        <v>1.2392996108949417</v>
      </c>
      <c r="DD14" s="28">
        <f t="shared" si="7"/>
        <v>2.7181145722963596E-2</v>
      </c>
      <c r="DE14" s="28">
        <f t="shared" si="8"/>
        <v>8.2402679015502217E-2</v>
      </c>
      <c r="DF14" s="19">
        <f t="shared" si="4"/>
        <v>2.1800000000000002</v>
      </c>
      <c r="DG14" s="19">
        <f t="shared" si="5"/>
        <v>6.37</v>
      </c>
      <c r="DH14">
        <f>1/DB14</f>
        <v>3.0316116861065763</v>
      </c>
    </row>
    <row r="15" spans="1:121" ht="23.25" customHeight="1" x14ac:dyDescent="0.35">
      <c r="A15" s="26" t="s">
        <v>91</v>
      </c>
      <c r="B15" s="26" t="s">
        <v>147</v>
      </c>
      <c r="C15" s="23">
        <v>10.38</v>
      </c>
      <c r="D15" s="23">
        <v>10.46</v>
      </c>
      <c r="E15" s="23">
        <v>10.54</v>
      </c>
      <c r="F15" s="23">
        <v>10.59</v>
      </c>
      <c r="G15" s="23">
        <v>10.81</v>
      </c>
      <c r="H15" s="23">
        <v>10.79</v>
      </c>
      <c r="I15" s="23">
        <v>10.83</v>
      </c>
      <c r="J15" s="23">
        <v>10.61</v>
      </c>
      <c r="K15" s="23">
        <v>10.3</v>
      </c>
      <c r="L15" s="23">
        <v>9.85</v>
      </c>
      <c r="M15" s="23">
        <v>9.51</v>
      </c>
      <c r="N15" s="23">
        <v>9.48</v>
      </c>
      <c r="O15" s="23">
        <v>9.3800000000000008</v>
      </c>
      <c r="P15" s="23">
        <v>9.31</v>
      </c>
      <c r="Q15" s="23">
        <v>9.32</v>
      </c>
      <c r="R15" s="23">
        <v>9.35</v>
      </c>
      <c r="S15" s="23">
        <v>9.42</v>
      </c>
      <c r="T15" s="23">
        <v>9.4499999999999993</v>
      </c>
      <c r="U15" s="23">
        <v>9.49</v>
      </c>
      <c r="V15" s="23">
        <v>9.51</v>
      </c>
      <c r="W15" s="23">
        <v>9.5399999999999991</v>
      </c>
      <c r="X15" s="23">
        <v>9.7799999999999994</v>
      </c>
      <c r="Y15" s="23">
        <v>9.9700000000000006</v>
      </c>
      <c r="Z15" s="23">
        <v>9.76</v>
      </c>
      <c r="AA15" s="23">
        <v>10.17</v>
      </c>
      <c r="AB15" s="23">
        <v>10.45</v>
      </c>
      <c r="AC15" s="23">
        <v>10.67</v>
      </c>
      <c r="AD15" s="23">
        <v>10.84</v>
      </c>
      <c r="AE15" s="23">
        <v>10.52</v>
      </c>
      <c r="AF15" s="23">
        <v>10.52</v>
      </c>
      <c r="AG15" s="23">
        <v>10.28</v>
      </c>
      <c r="AH15" s="23">
        <v>9.94</v>
      </c>
      <c r="AI15" s="23">
        <v>9.6999999999999993</v>
      </c>
      <c r="AJ15" s="23">
        <v>9.3800000000000008</v>
      </c>
      <c r="AK15" s="23">
        <v>9.06</v>
      </c>
      <c r="AL15" s="23">
        <v>9.0500000000000007</v>
      </c>
      <c r="AM15" s="23">
        <v>8.98</v>
      </c>
      <c r="AN15" s="23">
        <v>8.98</v>
      </c>
      <c r="AO15" s="23">
        <v>9.24</v>
      </c>
      <c r="AP15" s="23">
        <v>9.8000000000000007</v>
      </c>
      <c r="AQ15" s="23">
        <v>11.1</v>
      </c>
      <c r="AR15" s="23">
        <v>11.52</v>
      </c>
      <c r="AS15" s="23">
        <v>11.88</v>
      </c>
      <c r="AT15" s="23">
        <v>12.68</v>
      </c>
      <c r="AU15" s="23">
        <v>13.18</v>
      </c>
      <c r="AV15" s="23">
        <v>13.19</v>
      </c>
      <c r="AW15" s="23">
        <v>13.08</v>
      </c>
      <c r="AX15" s="23">
        <v>13.15</v>
      </c>
      <c r="AY15" s="23">
        <v>13.42</v>
      </c>
      <c r="AZ15" s="23">
        <v>14.25</v>
      </c>
      <c r="BA15" s="23">
        <v>15.42</v>
      </c>
      <c r="BB15" s="23">
        <v>15.6</v>
      </c>
      <c r="BC15" s="23">
        <v>15.78</v>
      </c>
      <c r="BD15" s="23">
        <v>16.12</v>
      </c>
      <c r="BE15" s="23">
        <v>16.47</v>
      </c>
      <c r="BF15" s="23">
        <v>16.829999999999998</v>
      </c>
      <c r="BG15" s="23">
        <v>17.27</v>
      </c>
      <c r="BH15" s="23">
        <v>17.16</v>
      </c>
      <c r="BI15" s="23">
        <v>16.22</v>
      </c>
      <c r="BJ15" s="23">
        <v>15.33</v>
      </c>
      <c r="BK15" s="23">
        <v>14.32</v>
      </c>
      <c r="BL15" s="23">
        <v>14.09</v>
      </c>
      <c r="BM15" s="23">
        <v>14.2</v>
      </c>
      <c r="BN15" s="23">
        <v>14.74</v>
      </c>
      <c r="BO15" s="23">
        <v>14.73</v>
      </c>
      <c r="BP15" s="23">
        <v>14.73</v>
      </c>
      <c r="BQ15" s="23">
        <v>14.86</v>
      </c>
      <c r="BR15" s="23">
        <v>14.9</v>
      </c>
      <c r="BS15" s="23">
        <v>13.66</v>
      </c>
      <c r="BT15" s="23">
        <v>12.79</v>
      </c>
      <c r="BU15" s="23">
        <v>12.66</v>
      </c>
      <c r="BV15" s="23">
        <v>12.4</v>
      </c>
      <c r="BW15" s="23">
        <v>12.18</v>
      </c>
      <c r="BX15" s="23">
        <v>12.03</v>
      </c>
      <c r="BY15" s="23">
        <v>12.19</v>
      </c>
      <c r="BZ15" s="23">
        <v>12.24</v>
      </c>
      <c r="CA15" s="23">
        <v>12.3</v>
      </c>
      <c r="CB15" s="23">
        <v>12.21</v>
      </c>
      <c r="CC15" s="23">
        <v>12.13</v>
      </c>
      <c r="CD15" s="23">
        <v>12.18</v>
      </c>
      <c r="CE15" s="23">
        <v>12.28</v>
      </c>
      <c r="CF15" s="23">
        <v>11.94</v>
      </c>
      <c r="CG15" s="23">
        <v>11.79</v>
      </c>
      <c r="CH15" s="23">
        <v>11.7</v>
      </c>
      <c r="CI15" s="23">
        <v>11.64</v>
      </c>
      <c r="CJ15" s="23">
        <v>11.12</v>
      </c>
      <c r="CK15" s="23">
        <v>10.67</v>
      </c>
      <c r="CL15" s="23">
        <v>10.65</v>
      </c>
      <c r="CM15" s="23">
        <v>10.74</v>
      </c>
      <c r="CN15" s="23">
        <v>10.74</v>
      </c>
      <c r="CO15" s="23">
        <v>10.77</v>
      </c>
      <c r="CP15" s="23">
        <v>10.72</v>
      </c>
      <c r="CQ15" s="23">
        <v>10.67</v>
      </c>
      <c r="CR15" s="23">
        <v>10.71</v>
      </c>
      <c r="CS15" s="23">
        <v>10.81</v>
      </c>
      <c r="CT15" s="23">
        <v>10.84</v>
      </c>
      <c r="CU15" s="23">
        <v>10.86</v>
      </c>
      <c r="CV15" s="23">
        <v>10.87</v>
      </c>
      <c r="CW15" s="23">
        <v>10.28</v>
      </c>
      <c r="CX15" s="23">
        <v>9.77</v>
      </c>
      <c r="CY15" s="27">
        <f t="shared" si="0"/>
        <v>0.87161538014646933</v>
      </c>
      <c r="CZ15" s="27">
        <f t="shared" si="1"/>
        <v>11.707699999999997</v>
      </c>
      <c r="DA15" s="27">
        <f t="shared" si="2"/>
        <v>2.1639483437327143</v>
      </c>
      <c r="DB15" s="28">
        <f t="shared" si="3"/>
        <v>0.1848312088397136</v>
      </c>
      <c r="DC15" s="28">
        <f t="shared" si="6"/>
        <v>0.94123314065510588</v>
      </c>
      <c r="DD15" s="28">
        <f t="shared" si="7"/>
        <v>-7.5419670144982742E-3</v>
      </c>
      <c r="DE15" s="28">
        <f t="shared" si="8"/>
        <v>-4.0804618775386034E-2</v>
      </c>
      <c r="DF15" s="19">
        <f t="shared" si="4"/>
        <v>8.98</v>
      </c>
      <c r="DG15" s="19">
        <f t="shared" si="5"/>
        <v>17.27</v>
      </c>
      <c r="DH15">
        <f>1/DB15</f>
        <v>5.4103417181413569</v>
      </c>
    </row>
    <row r="32" spans="96:101" x14ac:dyDescent="0.35">
      <c r="CR32" t="s">
        <v>163</v>
      </c>
      <c r="CW32" t="s">
        <v>149</v>
      </c>
    </row>
    <row r="33" spans="100:101" x14ac:dyDescent="0.35">
      <c r="CW33" t="s">
        <v>150</v>
      </c>
    </row>
    <row r="34" spans="100:101" x14ac:dyDescent="0.35">
      <c r="CW34" t="s">
        <v>151</v>
      </c>
    </row>
    <row r="35" spans="100:101" x14ac:dyDescent="0.35">
      <c r="CW35" t="s">
        <v>153</v>
      </c>
    </row>
    <row r="36" spans="100:101" x14ac:dyDescent="0.35">
      <c r="CW36" t="s">
        <v>152</v>
      </c>
    </row>
    <row r="38" spans="100:101" x14ac:dyDescent="0.35">
      <c r="CV38" t="s">
        <v>155</v>
      </c>
    </row>
    <row r="39" spans="100:101" x14ac:dyDescent="0.35">
      <c r="CV39" t="s">
        <v>154</v>
      </c>
    </row>
    <row r="40" spans="100:101" x14ac:dyDescent="0.35">
      <c r="CV40" t="s">
        <v>156</v>
      </c>
    </row>
  </sheetData>
  <mergeCells count="1">
    <mergeCell ref="DP4:DP7"/>
  </mergeCells>
  <pageMargins left="0.7" right="0.7" top="0.75" bottom="0.75" header="0.3" footer="0.3"/>
  <pageSetup paperSize="9" scale="26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 &amp; Risiko</vt:lpstr>
      <vt:lpstr>Matriks Korelasi</vt:lpstr>
      <vt:lpstr>HBA HMA</vt:lpstr>
      <vt:lpstr>Perhitungan Lengkap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chys</dc:creator>
  <cp:keywords/>
  <dc:description/>
  <cp:lastModifiedBy>Chysara Rabani</cp:lastModifiedBy>
  <cp:revision/>
  <dcterms:created xsi:type="dcterms:W3CDTF">2025-08-04T07:02:55Z</dcterms:created>
  <dcterms:modified xsi:type="dcterms:W3CDTF">2025-10-13T02:16:42Z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2025-08-21T10:20:18Z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b41471bf-8426-4478-ac9a-d3887a4edddf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